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efazmg-my.sharepoint.com/personal/david_teodoro_fazenda_mg_gov_br/Documents/Setores/ITCD/Planilhas/"/>
    </mc:Choice>
  </mc:AlternateContent>
  <xr:revisionPtr revIDLastSave="0" documentId="14_{9A131A65-B0D7-4019-9E69-D429549B28AC}" xr6:coauthVersionLast="47" xr6:coauthVersionMax="47" xr10:uidLastSave="{00000000-0000-0000-0000-000000000000}"/>
  <bookViews>
    <workbookView xWindow="1065" yWindow="1050" windowWidth="20250" windowHeight="10830" xr2:uid="{3C1F3063-01E4-45EC-8E07-A7E08332D37B}"/>
  </bookViews>
  <sheets>
    <sheet name="Protocolos" sheetId="1" r:id="rId1"/>
    <sheet name="VerifyProtocol" sheetId="2" r:id="rId2"/>
  </sheets>
  <definedNames>
    <definedName name="_xlnm._FilterDatabase" localSheetId="0" hidden="1">Protocolos!$A$5:$G$78</definedName>
    <definedName name="_xlnm._FilterDatabase" localSheetId="1" hidden="1">VerifyProtocol!$A$1:$D$500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2" l="1"/>
  <c r="D3" i="2"/>
  <c r="B4" i="2"/>
  <c r="C4" i="2"/>
  <c r="D4" i="2"/>
  <c r="B5" i="2"/>
  <c r="C5" i="2"/>
  <c r="D5" i="2"/>
  <c r="B6" i="2"/>
  <c r="C6" i="2"/>
  <c r="D6" i="2"/>
  <c r="B7" i="2"/>
  <c r="C7" i="2"/>
  <c r="D7" i="2"/>
  <c r="B8" i="2"/>
  <c r="C8" i="2"/>
  <c r="D8" i="2"/>
  <c r="B9" i="2"/>
  <c r="C9" i="2"/>
  <c r="D9" i="2"/>
  <c r="B10" i="2"/>
  <c r="C10" i="2"/>
  <c r="D10" i="2"/>
  <c r="B11" i="2"/>
  <c r="C11" i="2"/>
  <c r="D11" i="2"/>
  <c r="B12" i="2"/>
  <c r="C12" i="2"/>
  <c r="D12" i="2"/>
  <c r="B13" i="2"/>
  <c r="C13" i="2"/>
  <c r="D13" i="2"/>
  <c r="B14" i="2"/>
  <c r="C14" i="2"/>
  <c r="D14" i="2"/>
  <c r="B15" i="2"/>
  <c r="C15" i="2"/>
  <c r="D15" i="2"/>
  <c r="B16" i="2"/>
  <c r="C16" i="2"/>
  <c r="D16" i="2"/>
  <c r="B17" i="2"/>
  <c r="C17" i="2"/>
  <c r="D17" i="2"/>
  <c r="B18" i="2"/>
  <c r="C18" i="2"/>
  <c r="D18" i="2"/>
  <c r="B19" i="2"/>
  <c r="C19" i="2"/>
  <c r="D19" i="2"/>
  <c r="B20" i="2"/>
  <c r="C20" i="2"/>
  <c r="D20" i="2"/>
  <c r="B21" i="2"/>
  <c r="C21" i="2"/>
  <c r="D21" i="2"/>
  <c r="B22" i="2"/>
  <c r="C22" i="2"/>
  <c r="D22" i="2"/>
  <c r="B23" i="2"/>
  <c r="C23" i="2"/>
  <c r="D23" i="2"/>
  <c r="B24" i="2"/>
  <c r="C24" i="2"/>
  <c r="D24" i="2"/>
  <c r="B25" i="2"/>
  <c r="C25" i="2"/>
  <c r="D25" i="2"/>
  <c r="B26" i="2"/>
  <c r="C26" i="2"/>
  <c r="D26" i="2"/>
  <c r="B27" i="2"/>
  <c r="C27" i="2"/>
  <c r="D27" i="2"/>
  <c r="B28" i="2"/>
  <c r="C28" i="2"/>
  <c r="D28" i="2"/>
  <c r="B29" i="2"/>
  <c r="C29" i="2"/>
  <c r="D29" i="2"/>
  <c r="B30" i="2"/>
  <c r="C30" i="2"/>
  <c r="D30" i="2"/>
  <c r="B31" i="2"/>
  <c r="C31" i="2"/>
  <c r="D31" i="2"/>
  <c r="B32" i="2"/>
  <c r="C32" i="2"/>
  <c r="D32" i="2"/>
  <c r="B33" i="2"/>
  <c r="C33" i="2"/>
  <c r="D33" i="2"/>
  <c r="B34" i="2"/>
  <c r="C34" i="2"/>
  <c r="D34" i="2"/>
  <c r="B35" i="2"/>
  <c r="C35" i="2"/>
  <c r="D35" i="2"/>
  <c r="B36" i="2"/>
  <c r="C36" i="2"/>
  <c r="D36" i="2"/>
  <c r="B37" i="2"/>
  <c r="C37" i="2"/>
  <c r="D37" i="2"/>
  <c r="B38" i="2"/>
  <c r="C38" i="2"/>
  <c r="D38" i="2"/>
  <c r="B39" i="2"/>
  <c r="C39" i="2"/>
  <c r="D39" i="2"/>
  <c r="B40" i="2"/>
  <c r="C40" i="2"/>
  <c r="D40" i="2"/>
  <c r="B41" i="2"/>
  <c r="C41" i="2"/>
  <c r="D41" i="2"/>
  <c r="B42" i="2"/>
  <c r="C42" i="2"/>
  <c r="D42" i="2"/>
  <c r="B43" i="2"/>
  <c r="C43" i="2"/>
  <c r="D43" i="2"/>
  <c r="B44" i="2"/>
  <c r="C44" i="2"/>
  <c r="D44" i="2"/>
  <c r="B45" i="2"/>
  <c r="C45" i="2"/>
  <c r="D45" i="2"/>
  <c r="B46" i="2"/>
  <c r="C46" i="2"/>
  <c r="D46" i="2"/>
  <c r="B47" i="2"/>
  <c r="C47" i="2"/>
  <c r="D47" i="2"/>
  <c r="B48" i="2"/>
  <c r="C48" i="2"/>
  <c r="D48" i="2"/>
  <c r="B49" i="2"/>
  <c r="C49" i="2"/>
  <c r="D49" i="2"/>
  <c r="B50" i="2"/>
  <c r="C50" i="2"/>
  <c r="D50" i="2"/>
  <c r="B51" i="2"/>
  <c r="C51" i="2"/>
  <c r="D51" i="2"/>
  <c r="B52" i="2"/>
  <c r="C52" i="2"/>
  <c r="D52" i="2"/>
  <c r="B53" i="2"/>
  <c r="C53" i="2"/>
  <c r="D53" i="2"/>
  <c r="B54" i="2"/>
  <c r="C54" i="2"/>
  <c r="D54" i="2"/>
  <c r="B55" i="2"/>
  <c r="C55" i="2"/>
  <c r="D55" i="2"/>
  <c r="B56" i="2"/>
  <c r="C56" i="2"/>
  <c r="D56" i="2"/>
  <c r="B57" i="2"/>
  <c r="C57" i="2"/>
  <c r="D57" i="2"/>
  <c r="B58" i="2"/>
  <c r="C58" i="2"/>
  <c r="D58" i="2"/>
  <c r="B59" i="2"/>
  <c r="C59" i="2"/>
  <c r="D59" i="2"/>
  <c r="B60" i="2"/>
  <c r="C60" i="2"/>
  <c r="D60" i="2"/>
  <c r="B61" i="2"/>
  <c r="C61" i="2"/>
  <c r="D61" i="2"/>
  <c r="B62" i="2"/>
  <c r="C62" i="2"/>
  <c r="D62" i="2"/>
  <c r="B63" i="2"/>
  <c r="C63" i="2"/>
  <c r="D63" i="2"/>
  <c r="B64" i="2"/>
  <c r="C64" i="2"/>
  <c r="D64" i="2"/>
  <c r="B65" i="2"/>
  <c r="C65" i="2"/>
  <c r="D65" i="2"/>
  <c r="B66" i="2"/>
  <c r="C66" i="2"/>
  <c r="D66" i="2"/>
  <c r="B67" i="2"/>
  <c r="C67" i="2"/>
  <c r="D67" i="2"/>
  <c r="B68" i="2"/>
  <c r="C68" i="2"/>
  <c r="D68" i="2"/>
  <c r="B69" i="2"/>
  <c r="C69" i="2"/>
  <c r="D69" i="2"/>
  <c r="B70" i="2"/>
  <c r="C70" i="2"/>
  <c r="D70" i="2"/>
  <c r="B71" i="2"/>
  <c r="C71" i="2"/>
  <c r="D71" i="2"/>
  <c r="B72" i="2"/>
  <c r="C72" i="2"/>
  <c r="D72" i="2"/>
  <c r="B73" i="2"/>
  <c r="C73" i="2"/>
  <c r="D73" i="2"/>
  <c r="B74" i="2"/>
  <c r="C74" i="2"/>
  <c r="D74" i="2"/>
  <c r="B75" i="2"/>
  <c r="C75" i="2"/>
  <c r="D75" i="2"/>
  <c r="B76" i="2"/>
  <c r="C76" i="2"/>
  <c r="D76" i="2"/>
  <c r="B77" i="2"/>
  <c r="C77" i="2"/>
  <c r="D77" i="2"/>
  <c r="B78" i="2"/>
  <c r="C78" i="2"/>
  <c r="D78" i="2"/>
  <c r="B79" i="2"/>
  <c r="C79" i="2"/>
  <c r="D79" i="2"/>
  <c r="B80" i="2"/>
  <c r="C80" i="2"/>
  <c r="D80" i="2"/>
  <c r="B81" i="2"/>
  <c r="C81" i="2"/>
  <c r="D81" i="2"/>
  <c r="B82" i="2"/>
  <c r="C82" i="2"/>
  <c r="D82" i="2"/>
  <c r="B83" i="2"/>
  <c r="C83" i="2"/>
  <c r="D83" i="2"/>
  <c r="B84" i="2"/>
  <c r="C84" i="2"/>
  <c r="D84" i="2"/>
  <c r="B85" i="2"/>
  <c r="C85" i="2"/>
  <c r="D85" i="2"/>
  <c r="B86" i="2"/>
  <c r="C86" i="2"/>
  <c r="D86" i="2"/>
  <c r="B87" i="2"/>
  <c r="C87" i="2"/>
  <c r="D87" i="2"/>
  <c r="B88" i="2"/>
  <c r="C88" i="2"/>
  <c r="D88" i="2"/>
  <c r="B89" i="2"/>
  <c r="C89" i="2"/>
  <c r="D89" i="2"/>
  <c r="B90" i="2"/>
  <c r="C90" i="2"/>
  <c r="D90" i="2"/>
  <c r="B91" i="2"/>
  <c r="C91" i="2"/>
  <c r="D91" i="2"/>
  <c r="B92" i="2"/>
  <c r="C92" i="2"/>
  <c r="D92" i="2"/>
  <c r="B93" i="2"/>
  <c r="C93" i="2"/>
  <c r="D93" i="2"/>
  <c r="B94" i="2"/>
  <c r="C94" i="2"/>
  <c r="D94" i="2"/>
  <c r="B95" i="2"/>
  <c r="C95" i="2"/>
  <c r="D95" i="2"/>
  <c r="B96" i="2"/>
  <c r="C96" i="2"/>
  <c r="D96" i="2"/>
  <c r="B97" i="2"/>
  <c r="C97" i="2"/>
  <c r="D97" i="2"/>
  <c r="B98" i="2"/>
  <c r="C98" i="2"/>
  <c r="D98" i="2"/>
  <c r="B99" i="2"/>
  <c r="C99" i="2"/>
  <c r="D99" i="2"/>
  <c r="B100" i="2"/>
  <c r="C100" i="2"/>
  <c r="D100" i="2"/>
  <c r="B101" i="2"/>
  <c r="C101" i="2"/>
  <c r="D101" i="2"/>
  <c r="B102" i="2"/>
  <c r="C102" i="2"/>
  <c r="D102" i="2"/>
  <c r="B103" i="2"/>
  <c r="C103" i="2"/>
  <c r="D103" i="2"/>
  <c r="B104" i="2"/>
  <c r="C104" i="2"/>
  <c r="D104" i="2"/>
  <c r="B105" i="2"/>
  <c r="C105" i="2"/>
  <c r="D105" i="2"/>
  <c r="B106" i="2"/>
  <c r="C106" i="2"/>
  <c r="D106" i="2"/>
  <c r="B107" i="2"/>
  <c r="C107" i="2"/>
  <c r="D107" i="2"/>
  <c r="B108" i="2"/>
  <c r="C108" i="2"/>
  <c r="D108" i="2"/>
  <c r="B109" i="2"/>
  <c r="C109" i="2"/>
  <c r="D109" i="2"/>
  <c r="B110" i="2"/>
  <c r="C110" i="2"/>
  <c r="D110" i="2"/>
  <c r="B111" i="2"/>
  <c r="C111" i="2"/>
  <c r="D111" i="2"/>
  <c r="B112" i="2"/>
  <c r="C112" i="2"/>
  <c r="D112" i="2"/>
  <c r="B113" i="2"/>
  <c r="C113" i="2"/>
  <c r="D113" i="2"/>
  <c r="B114" i="2"/>
  <c r="C114" i="2"/>
  <c r="D114" i="2"/>
  <c r="B115" i="2"/>
  <c r="C115" i="2"/>
  <c r="D115" i="2"/>
  <c r="B116" i="2"/>
  <c r="C116" i="2"/>
  <c r="D116" i="2"/>
  <c r="B117" i="2"/>
  <c r="C117" i="2"/>
  <c r="D117" i="2"/>
  <c r="B118" i="2"/>
  <c r="C118" i="2"/>
  <c r="D118" i="2"/>
  <c r="B119" i="2"/>
  <c r="C119" i="2"/>
  <c r="D119" i="2"/>
  <c r="B120" i="2"/>
  <c r="C120" i="2"/>
  <c r="D120" i="2"/>
  <c r="B121" i="2"/>
  <c r="C121" i="2"/>
  <c r="D121" i="2"/>
  <c r="B122" i="2"/>
  <c r="C122" i="2"/>
  <c r="D122" i="2"/>
  <c r="B123" i="2"/>
  <c r="C123" i="2"/>
  <c r="D123" i="2"/>
  <c r="B124" i="2"/>
  <c r="C124" i="2"/>
  <c r="D124" i="2"/>
  <c r="B125" i="2"/>
  <c r="C125" i="2"/>
  <c r="D125" i="2"/>
  <c r="B126" i="2"/>
  <c r="C126" i="2"/>
  <c r="D126" i="2"/>
  <c r="B127" i="2"/>
  <c r="C127" i="2"/>
  <c r="D127" i="2"/>
  <c r="B128" i="2"/>
  <c r="C128" i="2"/>
  <c r="D128" i="2"/>
  <c r="B129" i="2"/>
  <c r="C129" i="2"/>
  <c r="D129" i="2"/>
  <c r="B130" i="2"/>
  <c r="C130" i="2"/>
  <c r="D130" i="2"/>
  <c r="B131" i="2"/>
  <c r="C131" i="2"/>
  <c r="D131" i="2"/>
  <c r="B132" i="2"/>
  <c r="C132" i="2"/>
  <c r="D132" i="2"/>
  <c r="B133" i="2"/>
  <c r="C133" i="2"/>
  <c r="D133" i="2"/>
  <c r="B134" i="2"/>
  <c r="C134" i="2"/>
  <c r="D134" i="2"/>
  <c r="B135" i="2"/>
  <c r="C135" i="2"/>
  <c r="D135" i="2"/>
  <c r="B136" i="2"/>
  <c r="C136" i="2"/>
  <c r="D136" i="2"/>
  <c r="B137" i="2"/>
  <c r="C137" i="2"/>
  <c r="D137" i="2"/>
  <c r="B138" i="2"/>
  <c r="C138" i="2"/>
  <c r="D138" i="2"/>
  <c r="B139" i="2"/>
  <c r="C139" i="2"/>
  <c r="D139" i="2"/>
  <c r="B140" i="2"/>
  <c r="C140" i="2"/>
  <c r="D140" i="2"/>
  <c r="B141" i="2"/>
  <c r="C141" i="2"/>
  <c r="D141" i="2"/>
  <c r="B142" i="2"/>
  <c r="C142" i="2"/>
  <c r="D142" i="2"/>
  <c r="B143" i="2"/>
  <c r="C143" i="2"/>
  <c r="D143" i="2"/>
  <c r="B144" i="2"/>
  <c r="C144" i="2"/>
  <c r="D144" i="2"/>
  <c r="B145" i="2"/>
  <c r="C145" i="2"/>
  <c r="D145" i="2"/>
  <c r="B146" i="2"/>
  <c r="C146" i="2"/>
  <c r="D146" i="2"/>
  <c r="B147" i="2"/>
  <c r="C147" i="2"/>
  <c r="D147" i="2"/>
  <c r="B148" i="2"/>
  <c r="C148" i="2"/>
  <c r="D148" i="2"/>
  <c r="B149" i="2"/>
  <c r="C149" i="2"/>
  <c r="D149" i="2"/>
  <c r="B150" i="2"/>
  <c r="C150" i="2"/>
  <c r="D150" i="2"/>
  <c r="B151" i="2"/>
  <c r="C151" i="2"/>
  <c r="D151" i="2"/>
  <c r="B152" i="2"/>
  <c r="C152" i="2"/>
  <c r="D152" i="2"/>
  <c r="B153" i="2"/>
  <c r="C153" i="2"/>
  <c r="D153" i="2"/>
  <c r="B154" i="2"/>
  <c r="C154" i="2"/>
  <c r="D154" i="2"/>
  <c r="B155" i="2"/>
  <c r="C155" i="2"/>
  <c r="D155" i="2"/>
  <c r="B156" i="2"/>
  <c r="C156" i="2"/>
  <c r="D156" i="2"/>
  <c r="B157" i="2"/>
  <c r="C157" i="2"/>
  <c r="D157" i="2"/>
  <c r="B158" i="2"/>
  <c r="C158" i="2"/>
  <c r="D158" i="2"/>
  <c r="B159" i="2"/>
  <c r="C159" i="2"/>
  <c r="D159" i="2"/>
  <c r="B160" i="2"/>
  <c r="C160" i="2"/>
  <c r="D160" i="2"/>
  <c r="B161" i="2"/>
  <c r="C161" i="2"/>
  <c r="D161" i="2"/>
  <c r="B162" i="2"/>
  <c r="C162" i="2"/>
  <c r="D162" i="2"/>
  <c r="B163" i="2"/>
  <c r="C163" i="2"/>
  <c r="D163" i="2"/>
  <c r="B164" i="2"/>
  <c r="C164" i="2"/>
  <c r="D164" i="2"/>
  <c r="B165" i="2"/>
  <c r="C165" i="2"/>
  <c r="D165" i="2"/>
  <c r="B166" i="2"/>
  <c r="C166" i="2"/>
  <c r="D166" i="2"/>
  <c r="B167" i="2"/>
  <c r="C167" i="2"/>
  <c r="D167" i="2"/>
  <c r="B168" i="2"/>
  <c r="C168" i="2"/>
  <c r="D168" i="2"/>
  <c r="B169" i="2"/>
  <c r="C169" i="2"/>
  <c r="D169" i="2"/>
  <c r="B170" i="2"/>
  <c r="C170" i="2"/>
  <c r="D170" i="2"/>
  <c r="B171" i="2"/>
  <c r="C171" i="2"/>
  <c r="D171" i="2"/>
  <c r="B172" i="2"/>
  <c r="C172" i="2"/>
  <c r="D172" i="2"/>
  <c r="B173" i="2"/>
  <c r="C173" i="2"/>
  <c r="D173" i="2"/>
  <c r="B174" i="2"/>
  <c r="C174" i="2"/>
  <c r="D174" i="2"/>
  <c r="B175" i="2"/>
  <c r="C175" i="2"/>
  <c r="D175" i="2"/>
  <c r="B176" i="2"/>
  <c r="C176" i="2"/>
  <c r="D176" i="2"/>
  <c r="B177" i="2"/>
  <c r="C177" i="2"/>
  <c r="D177" i="2"/>
  <c r="B178" i="2"/>
  <c r="C178" i="2"/>
  <c r="D178" i="2"/>
  <c r="B179" i="2"/>
  <c r="C179" i="2"/>
  <c r="D179" i="2"/>
  <c r="B180" i="2"/>
  <c r="C180" i="2"/>
  <c r="D180" i="2"/>
  <c r="B181" i="2"/>
  <c r="C181" i="2"/>
  <c r="D181" i="2"/>
  <c r="B182" i="2"/>
  <c r="C182" i="2"/>
  <c r="D182" i="2"/>
  <c r="B183" i="2"/>
  <c r="C183" i="2"/>
  <c r="D183" i="2"/>
  <c r="B184" i="2"/>
  <c r="C184" i="2"/>
  <c r="D184" i="2"/>
  <c r="B185" i="2"/>
  <c r="C185" i="2"/>
  <c r="D185" i="2"/>
  <c r="B186" i="2"/>
  <c r="C186" i="2"/>
  <c r="D186" i="2"/>
  <c r="B187" i="2"/>
  <c r="C187" i="2"/>
  <c r="D187" i="2"/>
  <c r="B188" i="2"/>
  <c r="C188" i="2"/>
  <c r="D188" i="2"/>
  <c r="B189" i="2"/>
  <c r="C189" i="2"/>
  <c r="D189" i="2"/>
  <c r="B190" i="2"/>
  <c r="C190" i="2"/>
  <c r="D190" i="2"/>
  <c r="B191" i="2"/>
  <c r="C191" i="2"/>
  <c r="D191" i="2"/>
  <c r="B192" i="2"/>
  <c r="C192" i="2"/>
  <c r="D192" i="2"/>
  <c r="B193" i="2"/>
  <c r="C193" i="2"/>
  <c r="D193" i="2"/>
  <c r="B194" i="2"/>
  <c r="C194" i="2"/>
  <c r="D194" i="2"/>
  <c r="B195" i="2"/>
  <c r="C195" i="2"/>
  <c r="D195" i="2"/>
  <c r="B196" i="2"/>
  <c r="C196" i="2"/>
  <c r="D196" i="2"/>
  <c r="B197" i="2"/>
  <c r="C197" i="2"/>
  <c r="D197" i="2"/>
  <c r="B198" i="2"/>
  <c r="C198" i="2"/>
  <c r="D198" i="2"/>
  <c r="B199" i="2"/>
  <c r="C199" i="2"/>
  <c r="D199" i="2"/>
  <c r="B200" i="2"/>
  <c r="C200" i="2"/>
  <c r="D200" i="2"/>
  <c r="B201" i="2"/>
  <c r="C201" i="2"/>
  <c r="D201" i="2"/>
  <c r="B202" i="2"/>
  <c r="C202" i="2"/>
  <c r="D202" i="2"/>
  <c r="B203" i="2"/>
  <c r="C203" i="2"/>
  <c r="D203" i="2"/>
  <c r="B204" i="2"/>
  <c r="C204" i="2"/>
  <c r="D204" i="2"/>
  <c r="B205" i="2"/>
  <c r="C205" i="2"/>
  <c r="D205" i="2"/>
  <c r="B206" i="2"/>
  <c r="C206" i="2"/>
  <c r="D206" i="2"/>
  <c r="B207" i="2"/>
  <c r="C207" i="2"/>
  <c r="D207" i="2"/>
  <c r="B208" i="2"/>
  <c r="C208" i="2"/>
  <c r="D208" i="2"/>
  <c r="B209" i="2"/>
  <c r="C209" i="2"/>
  <c r="D209" i="2"/>
  <c r="B210" i="2"/>
  <c r="C210" i="2"/>
  <c r="D210" i="2"/>
  <c r="B211" i="2"/>
  <c r="C211" i="2"/>
  <c r="D211" i="2"/>
  <c r="B212" i="2"/>
  <c r="C212" i="2"/>
  <c r="D212" i="2"/>
  <c r="B213" i="2"/>
  <c r="C213" i="2"/>
  <c r="D213" i="2"/>
  <c r="B214" i="2"/>
  <c r="C214" i="2"/>
  <c r="D214" i="2"/>
  <c r="B215" i="2"/>
  <c r="C215" i="2"/>
  <c r="D215" i="2"/>
  <c r="B216" i="2"/>
  <c r="C216" i="2"/>
  <c r="D216" i="2"/>
  <c r="B217" i="2"/>
  <c r="C217" i="2"/>
  <c r="D217" i="2"/>
  <c r="B218" i="2"/>
  <c r="C218" i="2"/>
  <c r="D218" i="2"/>
  <c r="B219" i="2"/>
  <c r="C219" i="2"/>
  <c r="D219" i="2"/>
  <c r="B220" i="2"/>
  <c r="C220" i="2"/>
  <c r="D220" i="2"/>
  <c r="B221" i="2"/>
  <c r="C221" i="2"/>
  <c r="D221" i="2"/>
  <c r="B222" i="2"/>
  <c r="C222" i="2"/>
  <c r="D222" i="2"/>
  <c r="B223" i="2"/>
  <c r="C223" i="2"/>
  <c r="D223" i="2"/>
  <c r="B224" i="2"/>
  <c r="C224" i="2"/>
  <c r="D224" i="2"/>
  <c r="B225" i="2"/>
  <c r="C225" i="2"/>
  <c r="D225" i="2"/>
  <c r="B226" i="2"/>
  <c r="C226" i="2"/>
  <c r="D226" i="2"/>
  <c r="B227" i="2"/>
  <c r="C227" i="2"/>
  <c r="D227" i="2"/>
  <c r="B228" i="2"/>
  <c r="C228" i="2"/>
  <c r="D228" i="2"/>
  <c r="B229" i="2"/>
  <c r="C229" i="2"/>
  <c r="D229" i="2"/>
  <c r="B230" i="2"/>
  <c r="C230" i="2"/>
  <c r="D230" i="2"/>
  <c r="B231" i="2"/>
  <c r="C231" i="2"/>
  <c r="D231" i="2"/>
  <c r="B232" i="2"/>
  <c r="C232" i="2"/>
  <c r="D232" i="2"/>
  <c r="B233" i="2"/>
  <c r="C233" i="2"/>
  <c r="D233" i="2"/>
  <c r="B234" i="2"/>
  <c r="C234" i="2"/>
  <c r="D234" i="2"/>
  <c r="B235" i="2"/>
  <c r="C235" i="2"/>
  <c r="D235" i="2"/>
  <c r="B236" i="2"/>
  <c r="C236" i="2"/>
  <c r="D236" i="2"/>
  <c r="B237" i="2"/>
  <c r="C237" i="2"/>
  <c r="D237" i="2"/>
  <c r="B238" i="2"/>
  <c r="C238" i="2"/>
  <c r="D238" i="2"/>
  <c r="B239" i="2"/>
  <c r="C239" i="2"/>
  <c r="D239" i="2"/>
  <c r="B240" i="2"/>
  <c r="C240" i="2"/>
  <c r="D240" i="2"/>
  <c r="B241" i="2"/>
  <c r="C241" i="2"/>
  <c r="D241" i="2"/>
  <c r="B242" i="2"/>
  <c r="C242" i="2"/>
  <c r="D242" i="2"/>
  <c r="B243" i="2"/>
  <c r="C243" i="2"/>
  <c r="D243" i="2"/>
  <c r="B244" i="2"/>
  <c r="C244" i="2"/>
  <c r="D244" i="2"/>
  <c r="B245" i="2"/>
  <c r="C245" i="2"/>
  <c r="D245" i="2"/>
  <c r="B246" i="2"/>
  <c r="C246" i="2"/>
  <c r="D246" i="2"/>
  <c r="B247" i="2"/>
  <c r="C247" i="2"/>
  <c r="D247" i="2"/>
  <c r="B248" i="2"/>
  <c r="C248" i="2"/>
  <c r="D248" i="2"/>
  <c r="B249" i="2"/>
  <c r="C249" i="2"/>
  <c r="D249" i="2"/>
  <c r="B250" i="2"/>
  <c r="C250" i="2"/>
  <c r="D250" i="2"/>
  <c r="B251" i="2"/>
  <c r="C251" i="2"/>
  <c r="D251" i="2"/>
  <c r="B252" i="2"/>
  <c r="C252" i="2"/>
  <c r="D252" i="2"/>
  <c r="B253" i="2"/>
  <c r="C253" i="2"/>
  <c r="D253" i="2"/>
  <c r="B254" i="2"/>
  <c r="C254" i="2"/>
  <c r="D254" i="2"/>
  <c r="B255" i="2"/>
  <c r="C255" i="2"/>
  <c r="D255" i="2"/>
  <c r="B256" i="2"/>
  <c r="C256" i="2"/>
  <c r="D256" i="2"/>
  <c r="B257" i="2"/>
  <c r="C257" i="2"/>
  <c r="D257" i="2"/>
  <c r="B258" i="2"/>
  <c r="C258" i="2"/>
  <c r="D258" i="2"/>
  <c r="B259" i="2"/>
  <c r="C259" i="2"/>
  <c r="D259" i="2"/>
  <c r="B260" i="2"/>
  <c r="C260" i="2"/>
  <c r="D260" i="2"/>
  <c r="B261" i="2"/>
  <c r="C261" i="2"/>
  <c r="D261" i="2"/>
  <c r="B262" i="2"/>
  <c r="C262" i="2"/>
  <c r="D262" i="2"/>
  <c r="B263" i="2"/>
  <c r="C263" i="2"/>
  <c r="D263" i="2"/>
  <c r="B264" i="2"/>
  <c r="C264" i="2"/>
  <c r="D264" i="2"/>
  <c r="B265" i="2"/>
  <c r="C265" i="2"/>
  <c r="D265" i="2"/>
  <c r="B266" i="2"/>
  <c r="C266" i="2"/>
  <c r="D266" i="2"/>
  <c r="B267" i="2"/>
  <c r="C267" i="2"/>
  <c r="D267" i="2"/>
  <c r="B268" i="2"/>
  <c r="C268" i="2"/>
  <c r="D268" i="2"/>
  <c r="B269" i="2"/>
  <c r="C269" i="2"/>
  <c r="D269" i="2"/>
  <c r="B270" i="2"/>
  <c r="C270" i="2"/>
  <c r="D270" i="2"/>
  <c r="B271" i="2"/>
  <c r="C271" i="2"/>
  <c r="D271" i="2"/>
  <c r="B272" i="2"/>
  <c r="C272" i="2"/>
  <c r="D272" i="2"/>
  <c r="B273" i="2"/>
  <c r="C273" i="2"/>
  <c r="D273" i="2"/>
  <c r="B274" i="2"/>
  <c r="C274" i="2"/>
  <c r="D274" i="2"/>
  <c r="B275" i="2"/>
  <c r="C275" i="2"/>
  <c r="D275" i="2"/>
  <c r="B276" i="2"/>
  <c r="C276" i="2"/>
  <c r="D276" i="2"/>
  <c r="B277" i="2"/>
  <c r="C277" i="2"/>
  <c r="D277" i="2"/>
  <c r="B278" i="2"/>
  <c r="C278" i="2"/>
  <c r="D278" i="2"/>
  <c r="B279" i="2"/>
  <c r="C279" i="2"/>
  <c r="D279" i="2"/>
  <c r="B280" i="2"/>
  <c r="C280" i="2"/>
  <c r="D280" i="2"/>
  <c r="B281" i="2"/>
  <c r="C281" i="2"/>
  <c r="D281" i="2"/>
  <c r="B282" i="2"/>
  <c r="C282" i="2"/>
  <c r="D282" i="2"/>
  <c r="B283" i="2"/>
  <c r="C283" i="2"/>
  <c r="D283" i="2"/>
  <c r="B284" i="2"/>
  <c r="C284" i="2"/>
  <c r="D284" i="2"/>
  <c r="B285" i="2"/>
  <c r="C285" i="2"/>
  <c r="D285" i="2"/>
  <c r="B286" i="2"/>
  <c r="C286" i="2"/>
  <c r="D286" i="2"/>
  <c r="B287" i="2"/>
  <c r="C287" i="2"/>
  <c r="D287" i="2"/>
  <c r="B288" i="2"/>
  <c r="C288" i="2"/>
  <c r="D288" i="2"/>
  <c r="B289" i="2"/>
  <c r="C289" i="2"/>
  <c r="D289" i="2"/>
  <c r="B290" i="2"/>
  <c r="C290" i="2"/>
  <c r="D290" i="2"/>
  <c r="B291" i="2"/>
  <c r="C291" i="2"/>
  <c r="D291" i="2"/>
  <c r="B292" i="2"/>
  <c r="C292" i="2"/>
  <c r="D292" i="2"/>
  <c r="B293" i="2"/>
  <c r="C293" i="2"/>
  <c r="D293" i="2"/>
  <c r="B294" i="2"/>
  <c r="C294" i="2"/>
  <c r="D294" i="2"/>
  <c r="B295" i="2"/>
  <c r="C295" i="2"/>
  <c r="D295" i="2"/>
  <c r="B296" i="2"/>
  <c r="C296" i="2"/>
  <c r="D296" i="2"/>
  <c r="B297" i="2"/>
  <c r="C297" i="2"/>
  <c r="D297" i="2"/>
  <c r="B298" i="2"/>
  <c r="C298" i="2"/>
  <c r="D298" i="2"/>
  <c r="B299" i="2"/>
  <c r="C299" i="2"/>
  <c r="D299" i="2"/>
  <c r="B300" i="2"/>
  <c r="C300" i="2"/>
  <c r="D300" i="2"/>
  <c r="B301" i="2"/>
  <c r="C301" i="2"/>
  <c r="D301" i="2"/>
  <c r="B302" i="2"/>
  <c r="C302" i="2"/>
  <c r="D302" i="2"/>
  <c r="B303" i="2"/>
  <c r="C303" i="2"/>
  <c r="D303" i="2"/>
  <c r="B304" i="2"/>
  <c r="C304" i="2"/>
  <c r="D304" i="2"/>
  <c r="B305" i="2"/>
  <c r="C305" i="2"/>
  <c r="D305" i="2"/>
  <c r="B306" i="2"/>
  <c r="C306" i="2"/>
  <c r="D306" i="2"/>
  <c r="B307" i="2"/>
  <c r="C307" i="2"/>
  <c r="D307" i="2"/>
  <c r="B308" i="2"/>
  <c r="C308" i="2"/>
  <c r="D308" i="2"/>
  <c r="B309" i="2"/>
  <c r="C309" i="2"/>
  <c r="D309" i="2"/>
  <c r="B310" i="2"/>
  <c r="C310" i="2"/>
  <c r="D310" i="2"/>
  <c r="B311" i="2"/>
  <c r="C311" i="2"/>
  <c r="D311" i="2"/>
  <c r="B312" i="2"/>
  <c r="C312" i="2"/>
  <c r="D312" i="2"/>
  <c r="B313" i="2"/>
  <c r="C313" i="2"/>
  <c r="D313" i="2"/>
  <c r="B314" i="2"/>
  <c r="C314" i="2"/>
  <c r="D314" i="2"/>
  <c r="B315" i="2"/>
  <c r="C315" i="2"/>
  <c r="D315" i="2"/>
  <c r="B316" i="2"/>
  <c r="C316" i="2"/>
  <c r="D316" i="2"/>
  <c r="B317" i="2"/>
  <c r="C317" i="2"/>
  <c r="D317" i="2"/>
  <c r="B318" i="2"/>
  <c r="C318" i="2"/>
  <c r="D318" i="2"/>
  <c r="B319" i="2"/>
  <c r="C319" i="2"/>
  <c r="D319" i="2"/>
  <c r="B320" i="2"/>
  <c r="C320" i="2"/>
  <c r="D320" i="2"/>
  <c r="B321" i="2"/>
  <c r="C321" i="2"/>
  <c r="D321" i="2"/>
  <c r="B322" i="2"/>
  <c r="C322" i="2"/>
  <c r="D322" i="2"/>
  <c r="B323" i="2"/>
  <c r="C323" i="2"/>
  <c r="D323" i="2"/>
  <c r="B324" i="2"/>
  <c r="C324" i="2"/>
  <c r="D324" i="2"/>
  <c r="B325" i="2"/>
  <c r="C325" i="2"/>
  <c r="D325" i="2"/>
  <c r="B326" i="2"/>
  <c r="C326" i="2"/>
  <c r="D326" i="2"/>
  <c r="B327" i="2"/>
  <c r="C327" i="2"/>
  <c r="D327" i="2"/>
  <c r="B328" i="2"/>
  <c r="C328" i="2"/>
  <c r="D328" i="2"/>
  <c r="B329" i="2"/>
  <c r="C329" i="2"/>
  <c r="D329" i="2"/>
  <c r="B330" i="2"/>
  <c r="C330" i="2"/>
  <c r="D330" i="2"/>
  <c r="B331" i="2"/>
  <c r="C331" i="2"/>
  <c r="D331" i="2"/>
  <c r="B332" i="2"/>
  <c r="C332" i="2"/>
  <c r="D332" i="2"/>
  <c r="B333" i="2"/>
  <c r="C333" i="2"/>
  <c r="D333" i="2"/>
  <c r="B334" i="2"/>
  <c r="C334" i="2"/>
  <c r="D334" i="2"/>
  <c r="B335" i="2"/>
  <c r="C335" i="2"/>
  <c r="D335" i="2"/>
  <c r="B336" i="2"/>
  <c r="C336" i="2"/>
  <c r="D336" i="2"/>
  <c r="B337" i="2"/>
  <c r="C337" i="2"/>
  <c r="D337" i="2"/>
  <c r="B338" i="2"/>
  <c r="C338" i="2"/>
  <c r="D338" i="2"/>
  <c r="B339" i="2"/>
  <c r="C339" i="2"/>
  <c r="D339" i="2"/>
  <c r="B340" i="2"/>
  <c r="C340" i="2"/>
  <c r="D340" i="2"/>
  <c r="B341" i="2"/>
  <c r="C341" i="2"/>
  <c r="D341" i="2"/>
  <c r="B342" i="2"/>
  <c r="C342" i="2"/>
  <c r="D342" i="2"/>
  <c r="B343" i="2"/>
  <c r="C343" i="2"/>
  <c r="D343" i="2"/>
  <c r="B344" i="2"/>
  <c r="C344" i="2"/>
  <c r="D344" i="2"/>
  <c r="B345" i="2"/>
  <c r="C345" i="2"/>
  <c r="D345" i="2"/>
  <c r="B346" i="2"/>
  <c r="C346" i="2"/>
  <c r="D346" i="2"/>
  <c r="B347" i="2"/>
  <c r="C347" i="2"/>
  <c r="D347" i="2"/>
  <c r="B348" i="2"/>
  <c r="C348" i="2"/>
  <c r="D348" i="2"/>
  <c r="B349" i="2"/>
  <c r="C349" i="2"/>
  <c r="D349" i="2"/>
  <c r="B350" i="2"/>
  <c r="C350" i="2"/>
  <c r="D350" i="2"/>
  <c r="B351" i="2"/>
  <c r="C351" i="2"/>
  <c r="D351" i="2"/>
  <c r="B352" i="2"/>
  <c r="C352" i="2"/>
  <c r="D352" i="2"/>
  <c r="B353" i="2"/>
  <c r="C353" i="2"/>
  <c r="D353" i="2"/>
  <c r="B354" i="2"/>
  <c r="C354" i="2"/>
  <c r="D354" i="2"/>
  <c r="B355" i="2"/>
  <c r="C355" i="2"/>
  <c r="D355" i="2"/>
  <c r="B356" i="2"/>
  <c r="C356" i="2"/>
  <c r="D356" i="2"/>
  <c r="B357" i="2"/>
  <c r="C357" i="2"/>
  <c r="D357" i="2"/>
  <c r="B358" i="2"/>
  <c r="C358" i="2"/>
  <c r="D358" i="2"/>
  <c r="B359" i="2"/>
  <c r="C359" i="2"/>
  <c r="D359" i="2"/>
  <c r="B360" i="2"/>
  <c r="C360" i="2"/>
  <c r="D360" i="2"/>
  <c r="B361" i="2"/>
  <c r="C361" i="2"/>
  <c r="D361" i="2"/>
  <c r="B362" i="2"/>
  <c r="C362" i="2"/>
  <c r="D362" i="2"/>
  <c r="B363" i="2"/>
  <c r="C363" i="2"/>
  <c r="D363" i="2"/>
  <c r="B364" i="2"/>
  <c r="C364" i="2"/>
  <c r="D364" i="2"/>
  <c r="B365" i="2"/>
  <c r="C365" i="2"/>
  <c r="D365" i="2"/>
  <c r="B366" i="2"/>
  <c r="C366" i="2"/>
  <c r="D366" i="2"/>
  <c r="B367" i="2"/>
  <c r="C367" i="2"/>
  <c r="D367" i="2"/>
  <c r="B368" i="2"/>
  <c r="C368" i="2"/>
  <c r="D368" i="2"/>
  <c r="B369" i="2"/>
  <c r="C369" i="2"/>
  <c r="D369" i="2"/>
  <c r="B370" i="2"/>
  <c r="C370" i="2"/>
  <c r="D370" i="2"/>
  <c r="B371" i="2"/>
  <c r="C371" i="2"/>
  <c r="D371" i="2"/>
  <c r="B372" i="2"/>
  <c r="C372" i="2"/>
  <c r="D372" i="2"/>
  <c r="B373" i="2"/>
  <c r="C373" i="2"/>
  <c r="D373" i="2"/>
  <c r="B374" i="2"/>
  <c r="C374" i="2"/>
  <c r="D374" i="2"/>
  <c r="B375" i="2"/>
  <c r="C375" i="2"/>
  <c r="D375" i="2"/>
  <c r="B376" i="2"/>
  <c r="C376" i="2"/>
  <c r="D376" i="2"/>
  <c r="B377" i="2"/>
  <c r="C377" i="2"/>
  <c r="D377" i="2"/>
  <c r="B378" i="2"/>
  <c r="C378" i="2"/>
  <c r="D378" i="2"/>
  <c r="B379" i="2"/>
  <c r="C379" i="2"/>
  <c r="D379" i="2"/>
  <c r="B380" i="2"/>
  <c r="C380" i="2"/>
  <c r="D380" i="2"/>
  <c r="B381" i="2"/>
  <c r="C381" i="2"/>
  <c r="D381" i="2"/>
  <c r="B382" i="2"/>
  <c r="C382" i="2"/>
  <c r="D382" i="2"/>
  <c r="B383" i="2"/>
  <c r="C383" i="2"/>
  <c r="D383" i="2"/>
  <c r="B384" i="2"/>
  <c r="C384" i="2"/>
  <c r="D384" i="2"/>
  <c r="B385" i="2"/>
  <c r="C385" i="2"/>
  <c r="D385" i="2"/>
  <c r="B386" i="2"/>
  <c r="C386" i="2"/>
  <c r="D386" i="2"/>
  <c r="B387" i="2"/>
  <c r="C387" i="2"/>
  <c r="D387" i="2"/>
  <c r="B388" i="2"/>
  <c r="C388" i="2"/>
  <c r="D388" i="2"/>
  <c r="B389" i="2"/>
  <c r="C389" i="2"/>
  <c r="D389" i="2"/>
  <c r="B390" i="2"/>
  <c r="C390" i="2"/>
  <c r="D390" i="2"/>
  <c r="B391" i="2"/>
  <c r="C391" i="2"/>
  <c r="D391" i="2"/>
  <c r="B392" i="2"/>
  <c r="C392" i="2"/>
  <c r="D392" i="2"/>
  <c r="B393" i="2"/>
  <c r="C393" i="2"/>
  <c r="D393" i="2"/>
  <c r="B394" i="2"/>
  <c r="C394" i="2"/>
  <c r="D394" i="2"/>
  <c r="B395" i="2"/>
  <c r="C395" i="2"/>
  <c r="D395" i="2"/>
  <c r="B396" i="2"/>
  <c r="C396" i="2"/>
  <c r="D396" i="2"/>
  <c r="B397" i="2"/>
  <c r="C397" i="2"/>
  <c r="D397" i="2"/>
  <c r="B398" i="2"/>
  <c r="C398" i="2"/>
  <c r="D398" i="2"/>
  <c r="B399" i="2"/>
  <c r="C399" i="2"/>
  <c r="D399" i="2"/>
  <c r="B400" i="2"/>
  <c r="C400" i="2"/>
  <c r="D400" i="2"/>
  <c r="B401" i="2"/>
  <c r="C401" i="2"/>
  <c r="D401" i="2"/>
  <c r="B402" i="2"/>
  <c r="C402" i="2"/>
  <c r="D402" i="2"/>
  <c r="B403" i="2"/>
  <c r="C403" i="2"/>
  <c r="D403" i="2"/>
  <c r="B404" i="2"/>
  <c r="C404" i="2"/>
  <c r="D404" i="2"/>
  <c r="B405" i="2"/>
  <c r="C405" i="2"/>
  <c r="D405" i="2"/>
  <c r="B406" i="2"/>
  <c r="C406" i="2"/>
  <c r="D406" i="2"/>
  <c r="B407" i="2"/>
  <c r="C407" i="2"/>
  <c r="D407" i="2"/>
  <c r="B408" i="2"/>
  <c r="C408" i="2"/>
  <c r="D408" i="2"/>
  <c r="B409" i="2"/>
  <c r="C409" i="2"/>
  <c r="D409" i="2"/>
  <c r="B410" i="2"/>
  <c r="C410" i="2"/>
  <c r="D410" i="2"/>
  <c r="B411" i="2"/>
  <c r="C411" i="2"/>
  <c r="D411" i="2"/>
  <c r="B412" i="2"/>
  <c r="C412" i="2"/>
  <c r="D412" i="2"/>
  <c r="B413" i="2"/>
  <c r="C413" i="2"/>
  <c r="D413" i="2"/>
  <c r="B414" i="2"/>
  <c r="C414" i="2"/>
  <c r="D414" i="2"/>
  <c r="B415" i="2"/>
  <c r="C415" i="2"/>
  <c r="D415" i="2"/>
  <c r="B416" i="2"/>
  <c r="C416" i="2"/>
  <c r="D416" i="2"/>
  <c r="B417" i="2"/>
  <c r="C417" i="2"/>
  <c r="D417" i="2"/>
  <c r="B418" i="2"/>
  <c r="C418" i="2"/>
  <c r="D418" i="2"/>
  <c r="B419" i="2"/>
  <c r="C419" i="2"/>
  <c r="D419" i="2"/>
  <c r="B420" i="2"/>
  <c r="C420" i="2"/>
  <c r="D420" i="2"/>
  <c r="B421" i="2"/>
  <c r="C421" i="2"/>
  <c r="D421" i="2"/>
  <c r="B422" i="2"/>
  <c r="C422" i="2"/>
  <c r="D422" i="2"/>
  <c r="B423" i="2"/>
  <c r="C423" i="2"/>
  <c r="D423" i="2"/>
  <c r="B424" i="2"/>
  <c r="C424" i="2"/>
  <c r="D424" i="2"/>
  <c r="B425" i="2"/>
  <c r="C425" i="2"/>
  <c r="D425" i="2"/>
  <c r="B426" i="2"/>
  <c r="C426" i="2"/>
  <c r="D426" i="2"/>
  <c r="B427" i="2"/>
  <c r="C427" i="2"/>
  <c r="D427" i="2"/>
  <c r="B428" i="2"/>
  <c r="C428" i="2"/>
  <c r="D428" i="2"/>
  <c r="B429" i="2"/>
  <c r="C429" i="2"/>
  <c r="D429" i="2"/>
  <c r="B430" i="2"/>
  <c r="C430" i="2"/>
  <c r="D430" i="2"/>
  <c r="B431" i="2"/>
  <c r="C431" i="2"/>
  <c r="D431" i="2"/>
  <c r="B432" i="2"/>
  <c r="C432" i="2"/>
  <c r="D432" i="2"/>
  <c r="B433" i="2"/>
  <c r="C433" i="2"/>
  <c r="D433" i="2"/>
  <c r="B434" i="2"/>
  <c r="C434" i="2"/>
  <c r="D434" i="2"/>
  <c r="B435" i="2"/>
  <c r="C435" i="2"/>
  <c r="D435" i="2"/>
  <c r="B436" i="2"/>
  <c r="C436" i="2"/>
  <c r="D436" i="2"/>
  <c r="B437" i="2"/>
  <c r="C437" i="2"/>
  <c r="D437" i="2"/>
  <c r="B438" i="2"/>
  <c r="C438" i="2"/>
  <c r="D438" i="2"/>
  <c r="B439" i="2"/>
  <c r="C439" i="2"/>
  <c r="D439" i="2"/>
  <c r="B440" i="2"/>
  <c r="C440" i="2"/>
  <c r="D440" i="2"/>
  <c r="B441" i="2"/>
  <c r="C441" i="2"/>
  <c r="D441" i="2"/>
  <c r="B442" i="2"/>
  <c r="C442" i="2"/>
  <c r="D442" i="2"/>
  <c r="B443" i="2"/>
  <c r="C443" i="2"/>
  <c r="D443" i="2"/>
  <c r="B444" i="2"/>
  <c r="C444" i="2"/>
  <c r="D444" i="2"/>
  <c r="B445" i="2"/>
  <c r="C445" i="2"/>
  <c r="D445" i="2"/>
  <c r="B446" i="2"/>
  <c r="C446" i="2"/>
  <c r="D446" i="2"/>
  <c r="B447" i="2"/>
  <c r="C447" i="2"/>
  <c r="D447" i="2"/>
  <c r="B448" i="2"/>
  <c r="C448" i="2"/>
  <c r="D448" i="2"/>
  <c r="B449" i="2"/>
  <c r="C449" i="2"/>
  <c r="D449" i="2"/>
  <c r="B450" i="2"/>
  <c r="C450" i="2"/>
  <c r="D450" i="2"/>
  <c r="B451" i="2"/>
  <c r="C451" i="2"/>
  <c r="D451" i="2"/>
  <c r="B452" i="2"/>
  <c r="C452" i="2"/>
  <c r="D452" i="2"/>
  <c r="B453" i="2"/>
  <c r="C453" i="2"/>
  <c r="D453" i="2"/>
  <c r="B454" i="2"/>
  <c r="C454" i="2"/>
  <c r="D454" i="2"/>
  <c r="B455" i="2"/>
  <c r="C455" i="2"/>
  <c r="D455" i="2"/>
  <c r="B456" i="2"/>
  <c r="C456" i="2"/>
  <c r="D456" i="2"/>
  <c r="B457" i="2"/>
  <c r="C457" i="2"/>
  <c r="D457" i="2"/>
  <c r="B458" i="2"/>
  <c r="C458" i="2"/>
  <c r="D458" i="2"/>
  <c r="B459" i="2"/>
  <c r="C459" i="2"/>
  <c r="D459" i="2"/>
  <c r="B460" i="2"/>
  <c r="C460" i="2"/>
  <c r="D460" i="2"/>
  <c r="B461" i="2"/>
  <c r="C461" i="2"/>
  <c r="D461" i="2"/>
  <c r="B462" i="2"/>
  <c r="C462" i="2"/>
  <c r="D462" i="2"/>
  <c r="B463" i="2"/>
  <c r="C463" i="2"/>
  <c r="D463" i="2"/>
  <c r="B464" i="2"/>
  <c r="C464" i="2"/>
  <c r="D464" i="2"/>
  <c r="B465" i="2"/>
  <c r="C465" i="2"/>
  <c r="D465" i="2"/>
  <c r="B466" i="2"/>
  <c r="C466" i="2"/>
  <c r="D466" i="2"/>
  <c r="B467" i="2"/>
  <c r="C467" i="2"/>
  <c r="D467" i="2"/>
  <c r="B468" i="2"/>
  <c r="C468" i="2"/>
  <c r="D468" i="2"/>
  <c r="B469" i="2"/>
  <c r="C469" i="2"/>
  <c r="D469" i="2"/>
  <c r="B470" i="2"/>
  <c r="C470" i="2"/>
  <c r="D470" i="2"/>
  <c r="B471" i="2"/>
  <c r="C471" i="2"/>
  <c r="D471" i="2"/>
  <c r="B472" i="2"/>
  <c r="C472" i="2"/>
  <c r="D472" i="2"/>
  <c r="B473" i="2"/>
  <c r="C473" i="2"/>
  <c r="D473" i="2"/>
  <c r="B474" i="2"/>
  <c r="C474" i="2"/>
  <c r="D474" i="2"/>
  <c r="B475" i="2"/>
  <c r="C475" i="2"/>
  <c r="D475" i="2"/>
  <c r="B476" i="2"/>
  <c r="C476" i="2"/>
  <c r="D476" i="2"/>
  <c r="B477" i="2"/>
  <c r="C477" i="2"/>
  <c r="D477" i="2"/>
  <c r="B478" i="2"/>
  <c r="C478" i="2"/>
  <c r="D478" i="2"/>
  <c r="B479" i="2"/>
  <c r="C479" i="2"/>
  <c r="D479" i="2"/>
  <c r="B480" i="2"/>
  <c r="C480" i="2"/>
  <c r="D480" i="2"/>
  <c r="B481" i="2"/>
  <c r="C481" i="2"/>
  <c r="D481" i="2"/>
  <c r="B482" i="2"/>
  <c r="C482" i="2"/>
  <c r="D482" i="2"/>
  <c r="B483" i="2"/>
  <c r="C483" i="2"/>
  <c r="D483" i="2"/>
  <c r="B484" i="2"/>
  <c r="C484" i="2"/>
  <c r="D484" i="2"/>
  <c r="B485" i="2"/>
  <c r="C485" i="2"/>
  <c r="D485" i="2"/>
  <c r="B486" i="2"/>
  <c r="C486" i="2"/>
  <c r="D486" i="2"/>
  <c r="B487" i="2"/>
  <c r="C487" i="2"/>
  <c r="D487" i="2"/>
  <c r="B488" i="2"/>
  <c r="C488" i="2"/>
  <c r="D488" i="2"/>
  <c r="B489" i="2"/>
  <c r="C489" i="2"/>
  <c r="D489" i="2"/>
  <c r="B490" i="2"/>
  <c r="C490" i="2"/>
  <c r="D490" i="2"/>
  <c r="B491" i="2"/>
  <c r="C491" i="2"/>
  <c r="D491" i="2"/>
  <c r="B492" i="2"/>
  <c r="C492" i="2"/>
  <c r="D492" i="2"/>
  <c r="B493" i="2"/>
  <c r="C493" i="2"/>
  <c r="D493" i="2"/>
  <c r="B494" i="2"/>
  <c r="C494" i="2"/>
  <c r="D494" i="2"/>
  <c r="B495" i="2"/>
  <c r="C495" i="2"/>
  <c r="D495" i="2"/>
  <c r="B496" i="2"/>
  <c r="C496" i="2"/>
  <c r="D496" i="2"/>
  <c r="B497" i="2"/>
  <c r="C497" i="2"/>
  <c r="D497" i="2"/>
  <c r="B498" i="2"/>
  <c r="C498" i="2"/>
  <c r="D498" i="2"/>
  <c r="B499" i="2"/>
  <c r="C499" i="2"/>
  <c r="D499" i="2"/>
  <c r="B500" i="2"/>
  <c r="C500" i="2"/>
  <c r="D500" i="2"/>
  <c r="D2" i="2"/>
  <c r="C2" i="2"/>
  <c r="B2" i="2"/>
  <c r="L3" i="1" l="1"/>
  <c r="L2" i="1" l="1"/>
  <c r="L4" i="1"/>
  <c r="M1" i="1" l="1"/>
  <c r="L1" i="1" s="1"/>
  <c r="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Braga</author>
    <author>David Wesley Braga Teodoro</author>
  </authors>
  <commentList>
    <comment ref="F6" authorId="0" shapeId="0" xr:uid="{ED726599-4164-4CB5-AFE1-DB0FD7B4546E}">
      <text>
        <r>
          <rPr>
            <sz val="9"/>
            <color indexed="81"/>
            <rFont val="Tahoma"/>
            <family val="2"/>
          </rPr>
          <t>09/12/2021 - Aguardando PG_x000D_
09/12/2021 - Analisando_x000D_
30/11/2021 - Em análise</t>
        </r>
      </text>
    </comment>
    <comment ref="F7" authorId="0" shapeId="0" xr:uid="{94799DE7-0D95-4F71-B585-82D9D73102EA}">
      <text>
        <r>
          <rPr>
            <sz val="9"/>
            <color indexed="81"/>
            <rFont val="Tahoma"/>
            <family val="2"/>
          </rPr>
          <t>20/12/2021 - Concluído_x000D_
30/11/2021 - Aguardando PG</t>
        </r>
      </text>
    </comment>
    <comment ref="F8" authorId="0" shapeId="0" xr:uid="{51E4DF5F-8742-4A42-83DA-A2AF293EC542}">
      <text>
        <r>
          <rPr>
            <sz val="9"/>
            <color indexed="81"/>
            <rFont val="Tahoma"/>
            <family val="2"/>
          </rPr>
          <t>10/12/2021 - Concluído_x000D_
30/11/2021 - Aguardando PG</t>
        </r>
      </text>
    </comment>
    <comment ref="F9" authorId="0" shapeId="0" xr:uid="{09A1876C-1F92-4BFC-9FA6-1CB993303E09}">
      <text>
        <r>
          <rPr>
            <sz val="9"/>
            <color indexed="81"/>
            <rFont val="Tahoma"/>
            <family val="2"/>
          </rPr>
          <t>16/12/2021 - Concluído_x000D_
08/12/2021 - Aguardando PG_x000D_
08/12/2021 - Analisando_x000D_
30/11/2021 - Em análise</t>
        </r>
      </text>
    </comment>
    <comment ref="F10" authorId="0" shapeId="0" xr:uid="{C23113C0-F4A1-4678-9B68-FECC419D1031}">
      <text>
        <r>
          <rPr>
            <sz val="9"/>
            <color indexed="81"/>
            <rFont val="Tahoma"/>
            <family val="2"/>
          </rPr>
          <t>10/12/2021 - Concluído_x000D_
30/11/2021 - Aguardando PG_x000D_
30/11/2021 - Analisando_x000D_
05/11/2021 - Em análise</t>
        </r>
      </text>
    </comment>
    <comment ref="F11" authorId="0" shapeId="0" xr:uid="{05743453-8809-43FC-86C9-32B1DD30C8C6}">
      <text>
        <r>
          <rPr>
            <sz val="9"/>
            <color indexed="81"/>
            <rFont val="Tahoma"/>
            <family val="2"/>
          </rPr>
          <t>30/11/2021 - Aguardando PG</t>
        </r>
      </text>
    </comment>
    <comment ref="F12" authorId="0" shapeId="0" xr:uid="{A1533E4A-B145-4DC9-B12B-118E45C216D0}">
      <text>
        <r>
          <rPr>
            <sz val="9"/>
            <color indexed="81"/>
            <rFont val="Tahoma"/>
            <family val="2"/>
          </rPr>
          <t>10/12/2021 - Concluído_x000D_
10/12/2021 - Analisando_x000D_
10/12/2021 - Analisando_x000D_
10/12/2021 - Analisando_x000D_
30/11/2021 - Em análise</t>
        </r>
      </text>
    </comment>
    <comment ref="F13" authorId="0" shapeId="0" xr:uid="{CD182FCE-E626-4A00-8F0A-C5F4C2C7B59E}">
      <text>
        <r>
          <rPr>
            <sz val="9"/>
            <color indexed="81"/>
            <rFont val="Tahoma"/>
            <family val="2"/>
          </rPr>
          <t>30/11/2021 - Aguardando PG</t>
        </r>
      </text>
    </comment>
    <comment ref="F14" authorId="0" shapeId="0" xr:uid="{CBEBF03F-1518-44A4-8830-3D986FE0278F}">
      <text>
        <r>
          <rPr>
            <sz val="9"/>
            <color indexed="81"/>
            <rFont val="Tahoma"/>
            <family val="2"/>
          </rPr>
          <t>30/11/2021 - Aguardando PG</t>
        </r>
      </text>
    </comment>
    <comment ref="F15" authorId="0" shapeId="0" xr:uid="{C1543CAE-59FF-402A-9495-239F122040D9}">
      <text>
        <r>
          <rPr>
            <sz val="9"/>
            <color indexed="81"/>
            <rFont val="Tahoma"/>
            <family val="2"/>
          </rPr>
          <t>10/12/2021 - Aguardando PG_x000D_
10/12/2021 - Analisando_x000D_
30/11/2021 - Em análise</t>
        </r>
      </text>
    </comment>
    <comment ref="F16" authorId="0" shapeId="0" xr:uid="{F9205DF1-2089-4816-B235-A8B9F3F9EFAC}">
      <text>
        <r>
          <rPr>
            <sz val="9"/>
            <color indexed="81"/>
            <rFont val="Tahoma"/>
            <family val="2"/>
          </rPr>
          <t>06/12/2021 - Aguardando PG_x000D_
01/12/2021 - Analisando_x000D_
01/12/2021 - Em análise</t>
        </r>
      </text>
    </comment>
    <comment ref="F17" authorId="0" shapeId="0" xr:uid="{B8C88B63-1DA9-4682-8998-565722C55AE5}">
      <text>
        <r>
          <rPr>
            <sz val="9"/>
            <color indexed="81"/>
            <rFont val="Tahoma"/>
            <family val="2"/>
          </rPr>
          <t>16/12/2021 - Concluído_x000D_
30/11/2021 - Aguardando PG</t>
        </r>
      </text>
    </comment>
    <comment ref="F18" authorId="0" shapeId="0" xr:uid="{466324ED-51B3-4F69-8A2C-F7B408BE6528}">
      <text>
        <r>
          <rPr>
            <sz val="9"/>
            <color indexed="81"/>
            <rFont val="Tahoma"/>
            <family val="2"/>
          </rPr>
          <t>06/12/2021 - Aguardando PG_x000D_
30/11/2021 - Analisando_x000D_
04/11/2021 - Em análise</t>
        </r>
      </text>
    </comment>
    <comment ref="F19" authorId="0" shapeId="0" xr:uid="{C658389B-F06C-4DCE-9EAE-7599E2B20F05}">
      <text>
        <r>
          <rPr>
            <sz val="9"/>
            <color indexed="81"/>
            <rFont val="Tahoma"/>
            <family val="2"/>
          </rPr>
          <t>10/12/2021 - Concluído_x000D_
10/12/2021 - Analisando_x000D_
30/11/2021 - Em análise</t>
        </r>
      </text>
    </comment>
    <comment ref="F20" authorId="1" shapeId="0" xr:uid="{EE148F78-B696-4E6C-B9FC-5549370EFB9F}">
      <text>
        <r>
          <rPr>
            <sz val="9"/>
            <color indexed="81"/>
            <rFont val="Tahoma"/>
            <family val="2"/>
          </rPr>
          <t>20/12/2021 - Concluído_x000D_
15/12/2021 - Aguardando PG_x000D_
09/12/2021 - Em análise</t>
        </r>
      </text>
    </comment>
    <comment ref="F22" authorId="0" shapeId="0" xr:uid="{66F85A86-0ADC-416B-8E23-4D54C4A08D66}">
      <text>
        <r>
          <rPr>
            <sz val="9"/>
            <color indexed="81"/>
            <rFont val="Tahoma"/>
            <family val="2"/>
          </rPr>
          <t>14/12/2021 - Concluído_x000D_
10/12/2021 - Aguardando PG_x000D_
10/12/2021 - Analisando_x000D_
30/11/2021 - Em análise</t>
        </r>
      </text>
    </comment>
    <comment ref="F23" authorId="1" shapeId="0" xr:uid="{BCE5DB09-0BBE-4867-9440-763A86A24ACE}">
      <text>
        <r>
          <rPr>
            <sz val="9"/>
            <color indexed="81"/>
            <rFont val="Tahoma"/>
            <family val="2"/>
          </rPr>
          <t>10/12/2021 - Concluído_x000D_
10/12/2021 - Aguardando PG_x000D_
10/12/2021 - Em análise</t>
        </r>
      </text>
    </comment>
    <comment ref="F24" authorId="0" shapeId="0" xr:uid="{29165988-B42D-486B-BE5E-D19E9E844AFC}">
      <text>
        <r>
          <rPr>
            <sz val="9"/>
            <color indexed="81"/>
            <rFont val="Tahoma"/>
            <family val="2"/>
          </rPr>
          <t>10/12/2021 - Aguardando PG_x000D_
10/12/2021 - Analisando_x000D_
30/11/2021 - Pendente_x000D_
30/11/2021 - Analisando_x000D_
29/11/2021 - Em análise_x000D_
28/11/2021 - Pendente</t>
        </r>
      </text>
    </comment>
    <comment ref="F25" authorId="0" shapeId="0" xr:uid="{F80936D2-75B5-4D45-9CE7-CD3A264FF1E2}">
      <text>
        <r>
          <rPr>
            <sz val="9"/>
            <color indexed="81"/>
            <rFont val="Tahoma"/>
            <family val="2"/>
          </rPr>
          <t>09/12/2021 - Concluído_x000D_
09/12/2021 - Analisando_x000D_
30/11/2021 - Em análise</t>
        </r>
      </text>
    </comment>
    <comment ref="F26" authorId="0" shapeId="0" xr:uid="{96D93A09-2918-44C2-A2F6-116F06879E28}">
      <text>
        <r>
          <rPr>
            <sz val="9"/>
            <color indexed="81"/>
            <rFont val="Tahoma"/>
            <family val="2"/>
          </rPr>
          <t>09/12/2021 - Concluído_x000D_
09/12/2021 - Analisando_x000D_
30/11/2021 - Em análise</t>
        </r>
      </text>
    </comment>
    <comment ref="F27" authorId="0" shapeId="0" xr:uid="{04888C9A-FCC4-4335-9FFB-32011B8FD74C}">
      <text>
        <r>
          <rPr>
            <sz val="9"/>
            <color indexed="81"/>
            <rFont val="Tahoma"/>
            <family val="2"/>
          </rPr>
          <t>20/12/2021 - Concluído_x000D_
14/12/2021 - Aguardando PG_x000D_
13/12/2021 - Analisando_x000D_
09/12/2021 - Pendente_x000D_
08/12/2021 - Analisando_x000D_
30/11/2021 - Em análise</t>
        </r>
      </text>
    </comment>
    <comment ref="F28" authorId="0" shapeId="0" xr:uid="{16A5CC36-E99A-4C8B-BEE4-70B634581D90}">
      <text>
        <r>
          <rPr>
            <sz val="9"/>
            <color indexed="81"/>
            <rFont val="Tahoma"/>
            <family val="2"/>
          </rPr>
          <t>09/12/2021 - Concluído_x000D_
09/12/2021 - Analisando_x000D_
30/11/2021 - Em análise</t>
        </r>
      </text>
    </comment>
    <comment ref="F29" authorId="0" shapeId="0" xr:uid="{8D939BB4-1AD7-4C84-AB85-D3466615BD2F}">
      <text>
        <r>
          <rPr>
            <sz val="9"/>
            <color indexed="81"/>
            <rFont val="Tahoma"/>
            <family val="2"/>
          </rPr>
          <t>20/12/2021 - Concluído_x000D_
14/12/2021 - Aguardando PG_x000D_
14/12/2021 - Analisando_x000D_
30/11/2021 - Pendente_x000D_
30/11/2021 - Analisando_x000D_
30/11/2021 - Em análise</t>
        </r>
      </text>
    </comment>
    <comment ref="F30" authorId="1" shapeId="0" xr:uid="{1D6485EE-93D7-4E99-BFCC-9E99E50D6580}">
      <text>
        <r>
          <rPr>
            <sz val="9"/>
            <color indexed="81"/>
            <rFont val="Segoe UI"/>
            <family val="2"/>
          </rPr>
          <t>06/12/2021 - Concluído_x000D_
06/12/2021 - Aguardando PG_x000D_
06/12/2021 - Em análise</t>
        </r>
      </text>
    </comment>
    <comment ref="F31" authorId="0" shapeId="0" xr:uid="{C1349C7F-D091-452C-A61E-66D97B80F7EE}">
      <text>
        <r>
          <rPr>
            <sz val="9"/>
            <color indexed="81"/>
            <rFont val="Tahoma"/>
            <family val="2"/>
          </rPr>
          <t>30/11/2021 - Concluído_x000D_
30/11/2021 - Analisando_x000D_
30/11/2021 - Em análise</t>
        </r>
      </text>
    </comment>
    <comment ref="F33" authorId="0" shapeId="0" xr:uid="{F2AEC4A8-6AF2-4C18-B498-A97E0EBD59A2}">
      <text>
        <r>
          <rPr>
            <sz val="9"/>
            <color indexed="81"/>
            <rFont val="Tahoma"/>
            <family val="2"/>
          </rPr>
          <t>30/11/2021 - Concluído_x000D_
30/11/2021 - Analisando_x000D_
06/11/2021 - Em análise</t>
        </r>
      </text>
    </comment>
    <comment ref="F34" authorId="1" shapeId="0" xr:uid="{AFDF57CE-D031-4AE7-BEB3-59CEA2EF0506}">
      <text>
        <r>
          <rPr>
            <sz val="9"/>
            <color indexed="81"/>
            <rFont val="Tahoma"/>
            <family val="2"/>
          </rPr>
          <t>20/12/2021 - Concluído_x000D_
16/12/2021 - Aguardando PG_x000D_
16/12/2021 - Analisando_x000D_
10/12/2021 - Em análise</t>
        </r>
      </text>
    </comment>
    <comment ref="F37" authorId="0" shapeId="0" xr:uid="{C2ACB630-2CBB-4722-B1BB-1BAE4E80F7FA}">
      <text>
        <r>
          <rPr>
            <sz val="9"/>
            <color indexed="81"/>
            <rFont val="Tahoma"/>
            <family val="2"/>
          </rPr>
          <t>20/12/2021 - Cancelado_x000D_
14/12/2021 - Pendente_x000D_
10/12/2021 - Aguardando PG_x000D_
10/12/2021 - Analisando_x000D_
23/11/2021 - Em análise</t>
        </r>
      </text>
    </comment>
    <comment ref="F38" authorId="0" shapeId="0" xr:uid="{3A51842B-20EE-4F66-8CD4-F2B159FB43F4}">
      <text>
        <r>
          <rPr>
            <sz val="9"/>
            <color indexed="81"/>
            <rFont val="Tahoma"/>
            <family val="2"/>
          </rPr>
          <t>22/12/2021 - Aguardando PG_x000D_
22/12/2021 - Analisando_x000D_
13/12/2021 - Em análise</t>
        </r>
      </text>
    </comment>
    <comment ref="F40" authorId="0" shapeId="0" xr:uid="{4040CF0A-0E24-4578-A90F-C0D798BFE9C0}">
      <text>
        <r>
          <rPr>
            <sz val="9"/>
            <color indexed="81"/>
            <rFont val="Tahoma"/>
            <family val="2"/>
          </rPr>
          <t>22/12/2021 - Aguardando PG_x000D_
22/12/2021 - Analisando_x000D_
13/12/2021 - Em análise</t>
        </r>
      </text>
    </comment>
    <comment ref="F41" authorId="0" shapeId="0" xr:uid="{75894AB9-F537-415B-99B6-24F9C362B4A2}">
      <text>
        <r>
          <rPr>
            <sz val="9"/>
            <color indexed="81"/>
            <rFont val="Tahoma"/>
            <family val="2"/>
          </rPr>
          <t>10/12/2021 - DF_x000D_
01/12/2021 - Em análise_x000D_
30/11/2021 - Pendente</t>
        </r>
      </text>
    </comment>
    <comment ref="F43" authorId="0" shapeId="0" xr:uid="{6083A6AF-6527-4AE1-ADCB-3C55CE566C94}">
      <text>
        <r>
          <rPr>
            <sz val="9"/>
            <color indexed="81"/>
            <rFont val="Tahoma"/>
            <family val="2"/>
          </rPr>
          <t>16/12/2021 - DF_x000D_
16/12/2021 - DF_x000D_
16/12/2021 - DF_x000D_
09/12/2021 - Pendente_x000D_
09/12/2021 - Analisando_x000D_
30/11/2021 - Em análise</t>
        </r>
      </text>
    </comment>
    <comment ref="F46" authorId="0" shapeId="0" xr:uid="{718C3D06-3B0A-4841-B523-3DBF25DD0C70}">
      <text>
        <r>
          <rPr>
            <sz val="9"/>
            <color indexed="81"/>
            <rFont val="Tahoma"/>
            <family val="2"/>
          </rPr>
          <t>22/12/2021 - Aguardando PG_x000D_
20/12/2021 - Pendente_x000D_
20/12/2021 - Analisando_x000D_
10/12/2021 - Pendente_x000D_
30/11/2021 - Em análise</t>
        </r>
      </text>
    </comment>
    <comment ref="F47" authorId="0" shapeId="0" xr:uid="{A32FDE92-D0B9-442A-8E4D-0EA7BFAB1BFE}">
      <text>
        <r>
          <rPr>
            <sz val="9"/>
            <color indexed="81"/>
            <rFont val="Tahoma"/>
            <family val="2"/>
          </rPr>
          <t>22/12/2021 - Aguardando PG_x000D_
13/12/2021 - Em análise</t>
        </r>
      </text>
    </comment>
    <comment ref="F51" authorId="0" shapeId="0" xr:uid="{4CF92626-2C73-447C-A0E2-F85C51655AFA}">
      <text>
        <r>
          <rPr>
            <sz val="9"/>
            <color indexed="81"/>
            <rFont val="Tahoma"/>
            <family val="2"/>
          </rPr>
          <t>10/12/2021 - Concluído_x000D_
25/11/2021 - Aguardando PG_x000D_
24/11/2021 - Analisando_x000D_
22/11/2021 - Pendente
17/11/2021 - Em análise</t>
        </r>
      </text>
    </comment>
    <comment ref="F52" authorId="0" shapeId="0" xr:uid="{69F97CE3-E1F1-4EDF-A752-72ED133006E3}">
      <text>
        <r>
          <rPr>
            <sz val="9"/>
            <color indexed="81"/>
            <rFont val="Tahoma"/>
            <family val="2"/>
          </rPr>
          <t>30/11/2021 - Concluído_x000D_
17/11/2021 - Aguardando PG_x000D_
26/10/2021 - Em análise</t>
        </r>
      </text>
    </comment>
    <comment ref="F53" authorId="0" shapeId="0" xr:uid="{27CF5154-8B07-4CB6-A6BC-CDDC1ACF8D44}">
      <text>
        <r>
          <rPr>
            <sz val="9"/>
            <color indexed="81"/>
            <rFont val="Tahoma"/>
            <family val="2"/>
          </rPr>
          <t>23/12/2021 - Aguardando PG_x000D_
23/12/2021 - Analisando_x000D_
23/12/2021 - Analisando_x000D_
13/12/2021 - Em análise</t>
        </r>
      </text>
    </comment>
    <comment ref="F54" authorId="0" shapeId="0" xr:uid="{B396BC2D-3FAF-4A72-95F1-71401B588B5E}">
      <text>
        <r>
          <rPr>
            <sz val="9"/>
            <color indexed="81"/>
            <rFont val="Tahoma"/>
            <family val="2"/>
          </rPr>
          <t>30/11/2021 - Concluído_x000D_
22/11/2021 - Aguardando PG_x000D_
22/11/2021 - Analisando_x000D_
11/11/2021 - Em análise</t>
        </r>
      </text>
    </comment>
    <comment ref="F55" authorId="1" shapeId="0" xr:uid="{8F9007E8-4774-4AD2-8983-94E72297E0B5}">
      <text>
        <r>
          <rPr>
            <sz val="9"/>
            <color indexed="81"/>
            <rFont val="Tahoma"/>
            <family val="2"/>
          </rPr>
          <t>16/12/2021 - Transferido_x000D_
16/12/2021 - Transferido_x000D_
10/12/2021 - Em análise</t>
        </r>
      </text>
    </comment>
    <comment ref="F56" authorId="1" shapeId="0" xr:uid="{C94CEE41-4A82-48D9-B845-EC485C83FA68}">
      <text>
        <r>
          <rPr>
            <sz val="9"/>
            <color indexed="81"/>
            <rFont val="Tahoma"/>
            <family val="2"/>
          </rPr>
          <t>16/12/2021 - Concluído_x000D_
10/12/2021 - Em análise</t>
        </r>
      </text>
    </comment>
    <comment ref="F57" authorId="0" shapeId="0" xr:uid="{D99905D4-2F4F-4FF4-BA77-D80C5497DF73}">
      <text>
        <r>
          <rPr>
            <sz val="9"/>
            <color indexed="81"/>
            <rFont val="Tahoma"/>
            <family val="2"/>
          </rPr>
          <t>10/12/2021 - Pendente_x000D_
10/12/2021 - Analisando_x000D_
30/11/2021 - Em análise</t>
        </r>
      </text>
    </comment>
    <comment ref="F58" authorId="1" shapeId="0" xr:uid="{B7B562B2-7CE2-4877-B008-F1EB571A75F0}">
      <text>
        <r>
          <rPr>
            <sz val="9"/>
            <color indexed="81"/>
            <rFont val="Tahoma"/>
            <family val="2"/>
          </rPr>
          <t>16/12/2021 - Concluído_x000D_
10/12/2021 - Em análise</t>
        </r>
      </text>
    </comment>
    <comment ref="F59" authorId="0" shapeId="0" xr:uid="{632F1620-6BE4-4886-AB97-1FE830A5ACBD}">
      <text>
        <r>
          <rPr>
            <sz val="9"/>
            <color indexed="81"/>
            <rFont val="Tahoma"/>
            <family val="2"/>
          </rPr>
          <t>09/12/2021 - Pendente_x000D_
09/12/2021 - Analisando_x000D_
30/11/2021 - Em análise</t>
        </r>
      </text>
    </comment>
    <comment ref="F60" authorId="1" shapeId="0" xr:uid="{EC3D526E-920B-436A-8482-EE5668D418EF}">
      <text>
        <r>
          <rPr>
            <sz val="9"/>
            <color indexed="81"/>
            <rFont val="Tahoma"/>
            <family val="2"/>
          </rPr>
          <t>16/12/2021 - Concluído_x000D_
10/12/2021 - Em análise</t>
        </r>
      </text>
    </comment>
    <comment ref="F61" authorId="1" shapeId="0" xr:uid="{05307702-8A53-4A76-8EFB-BFB9A9FCACBF}">
      <text>
        <r>
          <rPr>
            <sz val="9"/>
            <color indexed="81"/>
            <rFont val="Tahoma"/>
            <family val="2"/>
          </rPr>
          <t>16/12/2021 - Concluído_x000D_
10/12/2021 - Aguardando PG_x000D_
02/12/2021 - Em análise</t>
        </r>
      </text>
    </comment>
    <comment ref="F62" authorId="1" shapeId="0" xr:uid="{EC5B87B6-751B-41AE-8343-42F837706254}">
      <text>
        <r>
          <rPr>
            <sz val="9"/>
            <color indexed="81"/>
            <rFont val="Tahoma"/>
            <family val="2"/>
          </rPr>
          <t>20/12/2021 - Concluído_x000D_
20/12/2021 - Analisando_x000D_
16/12/2021 - Pendente_x000D_
10/12/2021 - Em análise</t>
        </r>
      </text>
    </comment>
    <comment ref="F63" authorId="0" shapeId="0" xr:uid="{8CD0ED36-CC93-4558-9EB9-29C88BD6B791}">
      <text>
        <r>
          <rPr>
            <sz val="9"/>
            <color indexed="81"/>
            <rFont val="Tahoma"/>
            <family val="2"/>
          </rPr>
          <t>22/12/2021 - Concluído_x000D_
10/12/2021 - Pendente_x000D_
30/11/2021 - Em análise</t>
        </r>
      </text>
    </comment>
    <comment ref="F64" authorId="0" shapeId="0" xr:uid="{8CE3BC2E-FFD1-4ED0-BB94-23F2A9340DBC}">
      <text>
        <r>
          <rPr>
            <sz val="9"/>
            <color indexed="81"/>
            <rFont val="Tahoma"/>
            <family val="2"/>
          </rPr>
          <t>30/11/2021 - Pendente_x000D_
30/11/2021 - Analisando_x000D_
04/11/2021 - Em análise</t>
        </r>
      </text>
    </comment>
    <comment ref="F65" authorId="0" shapeId="0" xr:uid="{4834F63F-CD75-455F-8A6A-3666A51C3EAB}">
      <text>
        <r>
          <rPr>
            <sz val="9"/>
            <color indexed="81"/>
            <rFont val="Tahoma"/>
            <family val="2"/>
          </rPr>
          <t>30/11/2021 - Pendente_x000D_
30/11/2021 - Analisando_x000D_
04/11/2021 - Em análise</t>
        </r>
      </text>
    </comment>
    <comment ref="F66" authorId="1" shapeId="0" xr:uid="{B1C4D385-1D38-4969-B676-5D7E41D9A302}">
      <text>
        <r>
          <rPr>
            <sz val="9"/>
            <color indexed="81"/>
            <rFont val="Tahoma"/>
            <family val="2"/>
          </rPr>
          <t>16/12/2021 - Pendente_x000D_
10/12/2021 - Em análise</t>
        </r>
      </text>
    </comment>
    <comment ref="F67" authorId="0" shapeId="0" xr:uid="{AE95E55C-1398-4277-B03F-2483DF177013}">
      <text>
        <r>
          <rPr>
            <sz val="9"/>
            <color indexed="81"/>
            <rFont val="Tahoma"/>
            <family val="2"/>
          </rPr>
          <t>22/12/2021 - Pendente_x000D_
22/12/2021 - Analisando_x000D_
13/12/2021 - Em análise</t>
        </r>
      </text>
    </comment>
    <comment ref="F68" authorId="0" shapeId="0" xr:uid="{D8393545-45C3-4E31-9B49-2D3D645F07F1}">
      <text>
        <r>
          <rPr>
            <sz val="9"/>
            <color indexed="81"/>
            <rFont val="Tahoma"/>
            <family val="2"/>
          </rPr>
          <t>22/12/2021 - Pendente_x000D_
22/12/2021 - Analisando_x000D_
13/12/2021 - Em análise</t>
        </r>
      </text>
    </comment>
    <comment ref="F69" authorId="0" shapeId="0" xr:uid="{31A9D079-8CD0-4FFB-A932-DDB1427AE720}">
      <text>
        <r>
          <rPr>
            <sz val="9"/>
            <color indexed="81"/>
            <rFont val="Tahoma"/>
            <family val="2"/>
          </rPr>
          <t>23/12/2021 - Pendente_x000D_
13/12/2021 - Em análise</t>
        </r>
      </text>
    </comment>
    <comment ref="F70" authorId="0" shapeId="0" xr:uid="{3CE135BA-0837-498B-9B0E-D455C160E033}">
      <text>
        <r>
          <rPr>
            <sz val="9"/>
            <color indexed="81"/>
            <rFont val="Tahoma"/>
            <family val="2"/>
          </rPr>
          <t>23/12/2021 - Concluído_x000D_
23/12/2021 - Analisando_x000D_
20/12/2021 - Em análise</t>
        </r>
      </text>
    </comment>
    <comment ref="F71" authorId="0" shapeId="0" xr:uid="{C40A33DB-C57A-46A8-AA6C-B6B08C81F2A0}">
      <text>
        <r>
          <rPr>
            <sz val="9"/>
            <color indexed="81"/>
            <rFont val="Tahoma"/>
            <family val="2"/>
          </rPr>
          <t>22/12/2021 - Pendente_x000D_
22/12/2021 - Analisando_x000D_
13/12/2021 - Em análise</t>
        </r>
      </text>
    </comment>
    <comment ref="F72" authorId="0" shapeId="0" xr:uid="{0D50E5E0-2574-4F37-BE3D-6138BB193DAC}">
      <text>
        <r>
          <rPr>
            <sz val="9"/>
            <color indexed="81"/>
            <rFont val="Tahoma"/>
            <family val="2"/>
          </rPr>
          <t>21/12/2021 - Pendente_x000D_
13/12/2021 - Em análise</t>
        </r>
      </text>
    </comment>
    <comment ref="F73" authorId="0" shapeId="0" xr:uid="{754F6E2D-E222-40C0-BAA5-443AB75444D3}">
      <text>
        <r>
          <rPr>
            <sz val="9"/>
            <color indexed="81"/>
            <rFont val="Tahoma"/>
            <family val="2"/>
          </rPr>
          <t>21/12/2021 - Pendente_x000D_
13/12/2021 - Em análise</t>
        </r>
      </text>
    </comment>
    <comment ref="F74" authorId="0" shapeId="0" xr:uid="{C83C6D18-FA66-4C56-8AF3-C91F7ADB0E05}">
      <text>
        <r>
          <rPr>
            <sz val="9"/>
            <color indexed="81"/>
            <rFont val="Tahoma"/>
            <family val="2"/>
          </rPr>
          <t>23/12/2021 - Pendente_x000D_
23/12/2021 - Analisando_x000D_
20/12/2021 - Em análise</t>
        </r>
      </text>
    </comment>
    <comment ref="F75" authorId="0" shapeId="0" xr:uid="{8C61807D-5641-4AAA-9714-A8CFFA9FB376}">
      <text>
        <r>
          <rPr>
            <sz val="9"/>
            <color indexed="81"/>
            <rFont val="Tahoma"/>
            <family val="2"/>
          </rPr>
          <t>23/12/2021 - Pendente_x000D_
23/12/2021 - Analisando_x000D_
20/12/2021 - Em análise</t>
        </r>
      </text>
    </comment>
    <comment ref="F76" authorId="0" shapeId="0" xr:uid="{094DBA74-162A-4458-87CA-CCEBA3CC5FAE}">
      <text>
        <r>
          <rPr>
            <sz val="9"/>
            <color indexed="81"/>
            <rFont val="Tahoma"/>
            <family val="2"/>
          </rPr>
          <t>23/12/2021 - Pendente_x000D_
20/12/2021 - Em análise</t>
        </r>
      </text>
    </comment>
    <comment ref="F77" authorId="0" shapeId="0" xr:uid="{D8188BDF-AC18-444F-AAFC-FE852CDDA050}">
      <text>
        <r>
          <rPr>
            <sz val="9"/>
            <color indexed="81"/>
            <rFont val="Tahoma"/>
            <family val="2"/>
          </rPr>
          <t>23/12/2021 - Concluído_x000D_
23/12/2021 - Analisando_x000D_
20/12/2021 - Em análise</t>
        </r>
      </text>
    </comment>
    <comment ref="F78" authorId="0" shapeId="0" xr:uid="{48FFD049-D2D3-4EC8-BC79-10B61CD242CE}">
      <text>
        <r>
          <rPr>
            <sz val="9"/>
            <color indexed="81"/>
            <rFont val="Tahoma"/>
            <family val="2"/>
          </rPr>
          <t>23/12/2021 - Aguardando PG_x000D_
20/12/2021 - Em análise</t>
        </r>
      </text>
    </comment>
  </commentList>
</comments>
</file>

<file path=xl/sharedStrings.xml><?xml version="1.0" encoding="utf-8"?>
<sst xmlns="http://schemas.openxmlformats.org/spreadsheetml/2006/main" count="180" uniqueCount="21">
  <si>
    <t>CONTROLE DE PROTOCOLOS ITCD - DAVID BRAGA</t>
  </si>
  <si>
    <t>TOTAL</t>
  </si>
  <si>
    <t>Em análise</t>
  </si>
  <si>
    <t>Pendente</t>
  </si>
  <si>
    <t>Protocolo</t>
  </si>
  <si>
    <t>Tipo</t>
  </si>
  <si>
    <t>FG</t>
  </si>
  <si>
    <t>Vencimento</t>
  </si>
  <si>
    <t>Valor</t>
  </si>
  <si>
    <t>Status</t>
  </si>
  <si>
    <t>Concluído</t>
  </si>
  <si>
    <t>Causa Mortis</t>
  </si>
  <si>
    <t>Aguardando PG</t>
  </si>
  <si>
    <t>Doação</t>
  </si>
  <si>
    <t>30/12/2021</t>
  </si>
  <si>
    <t>DF</t>
  </si>
  <si>
    <t>Avaliação de Bens</t>
  </si>
  <si>
    <t>Última Atuação</t>
  </si>
  <si>
    <t>Situação</t>
  </si>
  <si>
    <t>Transferido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</si>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</sst>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R$&quot;* #,##0.00_);_(&quot;R$&quot;* \(#,##0.00\);_(&quot;R$&quot;* &quot;-&quot;??_);_(@_)"/>
    <numFmt numFmtId="165" formatCode="000&quot;.&quot;000&quot;.&quot;000&quot;.&quot;000&quot;-&quot;0"/>
    <numFmt numFmtId="166" formatCode="00\.000000000\-00"/>
    <numFmt numFmtId="167" formatCode="000\.000\.000\.000\-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rgb="FFA9D08E"/>
      <name val="Calibri"/>
      <family val="2"/>
      <scheme val="minor"/>
    </font>
    <font>
      <sz val="9"/>
      <color indexed="81"/>
      <name val="Tahoma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6" tint="0.39997558519241921"/>
      </right>
      <top/>
      <bottom/>
      <diagonal/>
    </border>
    <border>
      <left style="thin">
        <color theme="6" tint="0.39997558519241921"/>
      </left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1" fontId="0" fillId="0" borderId="0" xfId="0" applyNumberFormat="1"/>
    <xf numFmtId="164" fontId="0" fillId="0" borderId="0" xfId="1" applyFont="1"/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64" fontId="0" fillId="2" borderId="0" xfId="1" applyFont="1" applyFill="1"/>
    <xf numFmtId="0" fontId="0" fillId="2" borderId="0" xfId="0" applyFill="1"/>
    <xf numFmtId="165" fontId="2" fillId="2" borderId="0" xfId="0" applyNumberFormat="1" applyFont="1" applyFill="1" applyAlignment="1">
      <alignment horizontal="center"/>
    </xf>
    <xf numFmtId="0" fontId="4" fillId="2" borderId="1" xfId="0" applyFont="1" applyFill="1" applyBorder="1"/>
    <xf numFmtId="0" fontId="4" fillId="2" borderId="2" xfId="0" applyFont="1" applyFill="1" applyBorder="1" applyAlignment="1">
      <alignment horizontal="left"/>
    </xf>
    <xf numFmtId="0" fontId="4" fillId="2" borderId="3" xfId="0" applyFont="1" applyFill="1" applyBorder="1"/>
    <xf numFmtId="0" fontId="4" fillId="2" borderId="4" xfId="0" applyFont="1" applyFill="1" applyBorder="1" applyAlignment="1">
      <alignment horizontal="left"/>
    </xf>
    <xf numFmtId="0" fontId="4" fillId="2" borderId="5" xfId="0" applyFont="1" applyFill="1" applyBorder="1"/>
    <xf numFmtId="0" fontId="4" fillId="2" borderId="6" xfId="0" applyFont="1" applyFill="1" applyBorder="1" applyAlignment="1">
      <alignment horizontal="left"/>
    </xf>
    <xf numFmtId="165" fontId="3" fillId="2" borderId="0" xfId="0" applyNumberFormat="1" applyFont="1" applyFill="1"/>
    <xf numFmtId="14" fontId="5" fillId="2" borderId="0" xfId="0" applyNumberFormat="1" applyFont="1" applyFill="1" applyAlignment="1">
      <alignment horizontal="right" vertical="center"/>
    </xf>
    <xf numFmtId="1" fontId="6" fillId="2" borderId="0" xfId="0" applyNumberFormat="1" applyFont="1" applyFill="1" applyAlignment="1">
      <alignment vertical="center"/>
    </xf>
    <xf numFmtId="14" fontId="0" fillId="0" borderId="0" xfId="0" applyNumberFormat="1" applyAlignment="1">
      <alignment horizontal="right"/>
    </xf>
    <xf numFmtId="1" fontId="9" fillId="3" borderId="0" xfId="0" applyNumberFormat="1" applyFont="1" applyFill="1" applyAlignment="1" applyProtection="1">
      <alignment horizontal="center" vertical="center"/>
      <protection locked="0"/>
    </xf>
    <xf numFmtId="0" fontId="9" fillId="3" borderId="0" xfId="0" applyFont="1" applyFill="1" applyAlignment="1" applyProtection="1">
      <alignment horizontal="center" vertical="center"/>
      <protection locked="0"/>
    </xf>
    <xf numFmtId="14" fontId="9" fillId="3" borderId="7" xfId="0" applyNumberFormat="1" applyFont="1" applyFill="1" applyBorder="1" applyAlignment="1">
      <alignment horizontal="center" vertical="center"/>
    </xf>
    <xf numFmtId="0" fontId="0" fillId="4" borderId="0" xfId="0" applyFill="1"/>
    <xf numFmtId="166" fontId="0" fillId="5" borderId="8" xfId="0" applyNumberFormat="1" applyFill="1" applyBorder="1" applyProtection="1">
      <protection hidden="1"/>
    </xf>
    <xf numFmtId="0" fontId="10" fillId="4" borderId="0" xfId="0" applyFont="1" applyFill="1" applyAlignment="1">
      <alignment horizontal="right"/>
    </xf>
    <xf numFmtId="0" fontId="10" fillId="4" borderId="0" xfId="0" applyFont="1" applyFill="1"/>
    <xf numFmtId="0" fontId="0" fillId="0" borderId="0" xfId="0" applyProtection="1">
      <protection locked="0"/>
    </xf>
    <xf numFmtId="14" fontId="0" fillId="0" borderId="7" xfId="0" applyNumberFormat="1" applyBorder="1" applyAlignment="1">
      <alignment horizontal="center" vertical="center"/>
    </xf>
    <xf numFmtId="14" fontId="0" fillId="5" borderId="8" xfId="0" applyNumberFormat="1" applyFill="1" applyBorder="1" applyProtection="1">
      <protection hidden="1"/>
    </xf>
    <xf numFmtId="167" fontId="0" fillId="0" borderId="8" xfId="0" applyNumberFormat="1" applyFill="1" applyBorder="1" applyProtection="1">
      <protection locked="0"/>
    </xf>
    <xf numFmtId="1" fontId="0" fillId="0" borderId="0" xfId="0" applyNumberFormat="1" applyFill="1" applyProtection="1">
      <protection locked="0"/>
    </xf>
    <xf numFmtId="165" fontId="0" fillId="2" borderId="0" xfId="0" applyNumberFormat="1" applyFill="1" applyAlignment="1">
      <alignment horizontal="center" vertical="center"/>
    </xf>
    <xf numFmtId="165" fontId="2" fillId="2" borderId="0" xfId="0" applyNumberFormat="1" applyFont="1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7" fontId="0" fillId="0" borderId="8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/>
    <xf numFmtId="165" fontId="2" fillId="2" borderId="0" xfId="0" applyNumberFormat="1" applyFont="1" applyFill="1" applyAlignment="1"/>
    <xf numFmtId="14" fontId="0" fillId="0" borderId="0" xfId="0" applyNumberFormat="1" applyAlignment="1"/>
    <xf numFmtId="0" fontId="0" fillId="0" borderId="0" xfId="0" applyAlignment="1"/>
    <xf numFmtId="167" fontId="0" fillId="0" borderId="0" xfId="0" applyNumberFormat="1" applyFill="1" applyBorder="1" applyAlignment="1" applyProtection="1">
      <alignment horizontal="center" vertical="center"/>
      <protection locked="0"/>
    </xf>
    <xf numFmtId="167" fontId="0" fillId="0" borderId="8" xfId="0" applyNumberFormat="1" applyFill="1" applyBorder="1" applyAlignment="1" applyProtection="1">
      <alignment horizontal="center"/>
      <protection locked="0"/>
    </xf>
    <xf numFmtId="165" fontId="0" fillId="0" borderId="0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165" fontId="3" fillId="2" borderId="0" xfId="0" applyNumberFormat="1" applyFont="1" applyFill="1" applyAlignment="1">
      <alignment horizontal="center"/>
    </xf>
    <xf numFmtId="165" fontId="3" fillId="2" borderId="0" xfId="0" applyNumberFormat="1" applyFont="1" applyFill="1" applyAlignment="1"/>
  </cellXfs>
  <cellStyles count="2">
    <cellStyle name="Currency" xfId="1" builtinId="4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theme="5" tint="-0.24994659260841701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5" tint="-0.24994659260841701"/>
      </font>
      <fill>
        <patternFill>
          <bgColor theme="7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A9D08E"/>
      <color rgb="FFECE8F0"/>
      <color rgb="FFBCA7CD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225328</xdr:colOff>
      <xdr:row>1</xdr:row>
      <xdr:rowOff>15239</xdr:rowOff>
    </xdr:from>
    <xdr:to>
      <xdr:col>3</xdr:col>
      <xdr:colOff>928397</xdr:colOff>
      <xdr:row>3</xdr:row>
      <xdr:rowOff>66239</xdr:rowOff>
    </xdr:to>
    <xdr:sp macro="[0]!analise_Click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3B8825A9-7BA9-47C5-AA37-B77E5D83CD0A}"/>
            </a:ext>
          </a:extLst>
        </xdr:cNvPr>
        <xdr:cNvSpPr/>
      </xdr:nvSpPr>
      <xdr:spPr>
        <a:xfrm>
          <a:off x="2549428" y="415289"/>
          <a:ext cx="1474594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Em</a:t>
          </a:r>
          <a:r>
            <a:rPr lang="pt-BR" sz="1400" b="1" cap="none" spc="0" baseline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 análise</a:t>
          </a:r>
          <a:endParaRPr lang="pt-BR" sz="1400" b="1" cap="none" spc="0">
            <a:ln w="6600">
              <a:solidFill>
                <a:schemeClr val="accent6">
                  <a:lumMod val="20000"/>
                  <a:lumOff val="80000"/>
                </a:schemeClr>
              </a:solidFill>
              <a:prstDash val="solid"/>
            </a:ln>
            <a:solidFill>
              <a:schemeClr val="bg1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  <a:latin typeface="Trebuchet MS" panose="020B0603020202020204" pitchFamily="34" charset="0"/>
          </a:endParaRPr>
        </a:p>
      </xdr:txBody>
    </xdr:sp>
    <xdr:clientData/>
  </xdr:twoCellAnchor>
  <xdr:twoCellAnchor>
    <xdr:from>
      <xdr:col>0</xdr:col>
      <xdr:colOff>704850</xdr:colOff>
      <xdr:row>1</xdr:row>
      <xdr:rowOff>9524</xdr:rowOff>
    </xdr:from>
    <xdr:to>
      <xdr:col>1</xdr:col>
      <xdr:colOff>991200</xdr:colOff>
      <xdr:row>3</xdr:row>
      <xdr:rowOff>60524</xdr:rowOff>
    </xdr:to>
    <xdr:sp macro="[0]!clear_filter_Click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6B30DD2-5B77-4791-8167-811196A9FE8E}"/>
            </a:ext>
          </a:extLst>
        </xdr:cNvPr>
        <xdr:cNvSpPr/>
      </xdr:nvSpPr>
      <xdr:spPr>
        <a:xfrm>
          <a:off x="704850" y="409574"/>
          <a:ext cx="1476975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Clear</a:t>
          </a:r>
        </a:p>
      </xdr:txBody>
    </xdr:sp>
    <xdr:clientData/>
  </xdr:twoCellAnchor>
  <xdr:twoCellAnchor>
    <xdr:from>
      <xdr:col>4</xdr:col>
      <xdr:colOff>200625</xdr:colOff>
      <xdr:row>1</xdr:row>
      <xdr:rowOff>32384</xdr:rowOff>
    </xdr:from>
    <xdr:to>
      <xdr:col>5</xdr:col>
      <xdr:colOff>534000</xdr:colOff>
      <xdr:row>3</xdr:row>
      <xdr:rowOff>83384</xdr:rowOff>
    </xdr:to>
    <xdr:sp macro="[0]!pendente_Click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995C5D0B-10B6-4ED7-BE3F-F4A91BBE2044}"/>
            </a:ext>
          </a:extLst>
        </xdr:cNvPr>
        <xdr:cNvSpPr/>
      </xdr:nvSpPr>
      <xdr:spPr>
        <a:xfrm>
          <a:off x="4391625" y="432434"/>
          <a:ext cx="1533525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Pendente</a:t>
          </a:r>
        </a:p>
      </xdr:txBody>
    </xdr:sp>
    <xdr:clientData/>
  </xdr:twoCellAnchor>
  <xdr:twoCellAnchor>
    <xdr:from>
      <xdr:col>5</xdr:col>
      <xdr:colOff>901603</xdr:colOff>
      <xdr:row>1</xdr:row>
      <xdr:rowOff>38099</xdr:rowOff>
    </xdr:from>
    <xdr:to>
      <xdr:col>7</xdr:col>
      <xdr:colOff>499171</xdr:colOff>
      <xdr:row>3</xdr:row>
      <xdr:rowOff>89099</xdr:rowOff>
    </xdr:to>
    <xdr:sp macro="[0]!concluido_Click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EC890FD8-9DF7-49BC-9C60-D6DA79165161}"/>
            </a:ext>
          </a:extLst>
        </xdr:cNvPr>
        <xdr:cNvSpPr/>
      </xdr:nvSpPr>
      <xdr:spPr>
        <a:xfrm>
          <a:off x="6292753" y="438149"/>
          <a:ext cx="1559718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Concluído</a:t>
          </a:r>
        </a:p>
      </xdr:txBody>
    </xdr:sp>
    <xdr:clientData/>
  </xdr:twoCellAnchor>
  <xdr:twoCellAnchor>
    <xdr:from>
      <xdr:col>8</xdr:col>
      <xdr:colOff>152400</xdr:colOff>
      <xdr:row>1</xdr:row>
      <xdr:rowOff>26669</xdr:rowOff>
    </xdr:from>
    <xdr:to>
      <xdr:col>9</xdr:col>
      <xdr:colOff>791175</xdr:colOff>
      <xdr:row>3</xdr:row>
      <xdr:rowOff>77669</xdr:rowOff>
    </xdr:to>
    <xdr:sp macro="[0]!transferido_Click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58C3699B-A524-4B8E-A0A6-F924232F3811}"/>
            </a:ext>
          </a:extLst>
        </xdr:cNvPr>
        <xdr:cNvSpPr/>
      </xdr:nvSpPr>
      <xdr:spPr>
        <a:xfrm>
          <a:off x="8220075" y="426719"/>
          <a:ext cx="1581750" cy="451050"/>
        </a:xfrm>
        <a:prstGeom prst="roundRect">
          <a:avLst/>
        </a:prstGeom>
        <a:gradFill flip="none" rotWithShape="1">
          <a:gsLst>
            <a:gs pos="14000">
              <a:schemeClr val="accent6">
                <a:lumMod val="40000"/>
                <a:lumOff val="60000"/>
              </a:schemeClr>
            </a:gs>
            <a:gs pos="36000">
              <a:schemeClr val="accent6">
                <a:lumMod val="40000"/>
                <a:lumOff val="60000"/>
              </a:schemeClr>
            </a:gs>
            <a:gs pos="100000">
              <a:schemeClr val="accent6">
                <a:lumMod val="75000"/>
              </a:schemeClr>
            </a:gs>
          </a:gsLst>
          <a:path path="shap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 cap="none" spc="0">
              <a:ln w="6600">
                <a:solidFill>
                  <a:schemeClr val="accent6">
                    <a:lumMod val="20000"/>
                    <a:lumOff val="80000"/>
                  </a:schemeClr>
                </a:solidFill>
                <a:prstDash val="solid"/>
              </a:ln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Trebuchet MS" panose="020B0603020202020204" pitchFamily="34" charset="0"/>
            </a:rPr>
            <a:t>Transferido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5</xdr:row>
      <xdr:rowOff>161925</xdr:rowOff>
    </xdr:from>
    <xdr:to>
      <xdr:col>7</xdr:col>
      <xdr:colOff>0</xdr:colOff>
      <xdr:row>7</xdr:row>
      <xdr:rowOff>133350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95698A0-A10D-4296-824C-C5720575BA4E}"/>
            </a:ext>
          </a:extLst>
        </xdr:cNvPr>
        <xdr:cNvSpPr/>
      </xdr:nvSpPr>
      <xdr:spPr>
        <a:xfrm>
          <a:off x="7191375" y="1123950"/>
          <a:ext cx="1114425" cy="35242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chemeClr val="bg1"/>
              </a:solidFill>
            </a:rPr>
            <a:t>FORMAT CLEAN</a:t>
          </a:r>
        </a:p>
      </xdr:txBody>
    </xdr:sp>
    <xdr:clientData/>
  </xdr:twoCellAnchor>
  <xdr:twoCellAnchor>
    <xdr:from>
      <xdr:col>5</xdr:col>
      <xdr:colOff>228600</xdr:colOff>
      <xdr:row>8</xdr:row>
      <xdr:rowOff>66675</xdr:rowOff>
    </xdr:from>
    <xdr:to>
      <xdr:col>7</xdr:col>
      <xdr:colOff>9525</xdr:colOff>
      <xdr:row>10</xdr:row>
      <xdr:rowOff>38100</xdr:rowOff>
    </xdr:to>
    <xdr:sp macro="[0]!Sheet2.Mask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DD6B8B8A-80C8-4C1E-9D04-394D8648FEBA}"/>
            </a:ext>
          </a:extLst>
        </xdr:cNvPr>
        <xdr:cNvSpPr/>
      </xdr:nvSpPr>
      <xdr:spPr>
        <a:xfrm>
          <a:off x="7200900" y="1600200"/>
          <a:ext cx="1114425" cy="352425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 INSERT MASK</a:t>
          </a:r>
        </a:p>
      </xdr:txBody>
    </xdr:sp>
    <xdr:clientData/>
  </xdr:twoCellAnchor>
  <xdr:twoCellAnchor>
    <xdr:from>
      <xdr:col>5</xdr:col>
      <xdr:colOff>238125</xdr:colOff>
      <xdr:row>10</xdr:row>
      <xdr:rowOff>142875</xdr:rowOff>
    </xdr:from>
    <xdr:to>
      <xdr:col>7</xdr:col>
      <xdr:colOff>19050</xdr:colOff>
      <xdr:row>12</xdr:row>
      <xdr:rowOff>114300</xdr:rowOff>
    </xdr:to>
    <xdr:sp macro="[0]!Sheet2.clean_verifyRe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792FD12-30D3-453D-B9BE-AF503D27F33B}"/>
            </a:ext>
          </a:extLst>
        </xdr:cNvPr>
        <xdr:cNvSpPr/>
      </xdr:nvSpPr>
      <xdr:spPr>
        <a:xfrm>
          <a:off x="7210425" y="2057400"/>
          <a:ext cx="1114425" cy="352425"/>
        </a:xfrm>
        <a:prstGeom prst="roundRect">
          <a:avLst/>
        </a:prstGeom>
        <a:ln/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/>
            <a:t>CLEAN</a:t>
          </a:r>
          <a:r>
            <a:rPr lang="pt-BR" sz="1050" b="1" baseline="0"/>
            <a:t> LIST</a:t>
          </a:r>
          <a:endParaRPr lang="pt-BR" sz="105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3250F-08EA-49B9-B9F6-E18B6C0608B9}">
  <sheetPr codeName="Sheet1"/>
  <dimension ref="A1:V79"/>
  <sheetViews>
    <sheetView tabSelected="1" zoomScale="85" zoomScaleNormal="85" workbookViewId="0">
      <pane ySplit="5" topLeftCell="A6" activePane="bottomLeft" state="frozen"/>
      <selection pane="bottomLeft" activeCell="E79" sqref="E79"/>
    </sheetView>
  </sheetViews>
  <sheetFormatPr defaultRowHeight="15" x14ac:dyDescent="0.25"/>
  <cols>
    <col min="1" max="1" width="17.85546875" style="36" customWidth="1"/>
    <col min="2" max="2" width="17" style="6" bestFit="1" customWidth="1"/>
    <col min="3" max="3" width="11.5703125" style="4" bestFit="1" customWidth="1"/>
    <col min="4" max="4" width="16.42578125" style="4" customWidth="1"/>
    <col min="5" max="5" width="18" style="3" customWidth="1"/>
    <col min="6" max="6" width="14.7109375" bestFit="1" customWidth="1"/>
    <col min="7" max="7" width="14.7109375" style="41" bestFit="1" customWidth="1"/>
    <col min="8" max="8" width="10.7109375" bestFit="1" customWidth="1"/>
    <col min="9" max="11" width="14.140625" bestFit="1" customWidth="1"/>
    <col min="12" max="12" width="12" bestFit="1" customWidth="1"/>
    <col min="13" max="13" width="11" bestFit="1" customWidth="1"/>
    <col min="14" max="19" width="14.140625" bestFit="1" customWidth="1"/>
  </cols>
  <sheetData>
    <row r="1" spans="1:22" ht="31.5" x14ac:dyDescent="0.5">
      <c r="A1" s="46" t="s">
        <v>0</v>
      </c>
      <c r="B1" s="46"/>
      <c r="C1" s="46"/>
      <c r="D1" s="46"/>
      <c r="E1" s="46"/>
      <c r="F1" s="46"/>
      <c r="G1" s="47"/>
      <c r="H1" s="46"/>
      <c r="I1" s="46"/>
      <c r="J1" s="46"/>
      <c r="K1" s="46"/>
      <c r="L1" s="20">
        <f ca="1">YEAR(M1)</f>
        <v>2021</v>
      </c>
      <c r="M1" s="19">
        <f ca="1">TODAY()</f>
        <v>44553</v>
      </c>
      <c r="N1" s="18"/>
      <c r="O1" s="18"/>
      <c r="P1" s="18"/>
      <c r="Q1" s="18"/>
      <c r="R1" s="18"/>
      <c r="S1" s="18"/>
      <c r="T1" s="18"/>
      <c r="U1" s="18"/>
      <c r="V1" s="18"/>
    </row>
    <row r="2" spans="1:22" ht="15.75" x14ac:dyDescent="0.25">
      <c r="A2" s="34"/>
      <c r="B2" s="7"/>
      <c r="C2" s="8"/>
      <c r="D2" s="8"/>
      <c r="E2" s="9"/>
      <c r="F2" s="10"/>
      <c r="G2" s="38"/>
      <c r="H2" s="10"/>
      <c r="I2" s="10"/>
      <c r="J2" s="10"/>
      <c r="K2" s="16" t="s">
        <v>1</v>
      </c>
      <c r="L2" s="17">
        <f>COUNTA($A$6:$A$9997)</f>
        <v>73</v>
      </c>
      <c r="M2" s="7"/>
      <c r="N2" s="8"/>
      <c r="O2" s="8"/>
      <c r="P2" s="9"/>
      <c r="Q2" s="10"/>
      <c r="R2" s="10"/>
      <c r="S2" s="10"/>
      <c r="T2" s="10"/>
      <c r="U2" s="10"/>
      <c r="V2" s="10"/>
    </row>
    <row r="3" spans="1:22" ht="15.75" x14ac:dyDescent="0.25">
      <c r="A3" s="34"/>
      <c r="B3" s="7"/>
      <c r="C3" s="8"/>
      <c r="D3" s="8"/>
      <c r="E3" s="9"/>
      <c r="F3" s="10"/>
      <c r="G3" s="38"/>
      <c r="H3" s="10"/>
      <c r="I3" s="10"/>
      <c r="J3" s="10"/>
      <c r="K3" s="12" t="s">
        <v>2</v>
      </c>
      <c r="L3" s="13">
        <f>COUNTIF($F$6:$F$9997,"Em análise")+COUNTIF($F$6:$F$9997,"Analisando")</f>
        <v>0</v>
      </c>
      <c r="M3" s="7"/>
      <c r="N3" s="8"/>
      <c r="O3" s="8"/>
      <c r="P3" s="9"/>
      <c r="Q3" s="10"/>
      <c r="R3" s="10"/>
      <c r="S3" s="10"/>
      <c r="T3" s="10"/>
      <c r="U3" s="10"/>
      <c r="V3" s="10"/>
    </row>
    <row r="4" spans="1:22" ht="15.75" x14ac:dyDescent="0.25">
      <c r="A4" s="34"/>
      <c r="B4" s="7"/>
      <c r="C4" s="8"/>
      <c r="D4" s="8"/>
      <c r="E4" s="9"/>
      <c r="F4" s="10"/>
      <c r="G4" s="38"/>
      <c r="H4" s="10"/>
      <c r="I4" s="10"/>
      <c r="J4" s="10"/>
      <c r="K4" s="12" t="s">
        <v>3</v>
      </c>
      <c r="L4" s="13">
        <f>COUNTIF($F$6:$F$9997,"Pendente")+ COUNTIF($F$6:$F$9997,"Aguardando PG")</f>
        <v>28</v>
      </c>
      <c r="M4" s="7"/>
      <c r="N4" s="8"/>
      <c r="O4" s="8"/>
      <c r="P4" s="9"/>
      <c r="Q4" s="10"/>
      <c r="R4" s="10"/>
      <c r="S4" s="10"/>
      <c r="T4" s="10"/>
      <c r="U4" s="10"/>
      <c r="V4" s="10"/>
    </row>
    <row r="5" spans="1:22" ht="15.75" x14ac:dyDescent="0.25">
      <c r="A5" s="35" t="s">
        <v>4</v>
      </c>
      <c r="B5" s="11" t="s">
        <v>5</v>
      </c>
      <c r="C5" s="11" t="s">
        <v>6</v>
      </c>
      <c r="D5" s="11" t="s">
        <v>7</v>
      </c>
      <c r="E5" s="11" t="s">
        <v>8</v>
      </c>
      <c r="F5" s="11" t="s">
        <v>9</v>
      </c>
      <c r="G5" s="39" t="s">
        <v>17</v>
      </c>
      <c r="H5" s="11"/>
      <c r="I5" s="11"/>
      <c r="J5" s="11"/>
      <c r="K5" s="14" t="s">
        <v>10</v>
      </c>
      <c r="L5" s="15">
        <f>COUNTIF($F$6:$F$9997,"Concluído")</f>
        <v>40</v>
      </c>
      <c r="M5" s="11"/>
      <c r="N5" s="11"/>
      <c r="O5" s="11"/>
      <c r="P5" s="11"/>
      <c r="Q5" s="11"/>
      <c r="R5" s="11"/>
      <c r="S5" s="11"/>
      <c r="T5" s="11"/>
      <c r="U5" s="11"/>
      <c r="V5" s="11"/>
    </row>
    <row r="6" spans="1:22" x14ac:dyDescent="0.25">
      <c r="A6" s="36">
        <v>2021222471269</v>
      </c>
      <c r="B6" s="6" t="s">
        <v>11</v>
      </c>
      <c r="C6" s="4">
        <v>44474</v>
      </c>
      <c r="D6" s="4">
        <v>44654</v>
      </c>
      <c r="E6" s="3">
        <v>926.71</v>
      </c>
      <c r="F6" t="s">
        <v>12</v>
      </c>
      <c r="G6" s="40">
        <v>44539</v>
      </c>
      <c r="J6" s="2"/>
      <c r="K6" s="2"/>
      <c r="L6" s="2"/>
      <c r="M6" s="2"/>
      <c r="N6" s="2"/>
      <c r="O6" s="2"/>
      <c r="P6" s="2"/>
      <c r="Q6" s="2"/>
      <c r="R6" s="2"/>
      <c r="S6" s="2"/>
    </row>
    <row r="7" spans="1:22" x14ac:dyDescent="0.25">
      <c r="A7" s="36">
        <v>2021219513142</v>
      </c>
      <c r="B7" s="6" t="s">
        <v>11</v>
      </c>
      <c r="C7" s="4">
        <v>44377</v>
      </c>
      <c r="D7" s="4">
        <v>44557</v>
      </c>
      <c r="E7" s="3">
        <v>1848.03</v>
      </c>
      <c r="F7" t="s">
        <v>10</v>
      </c>
      <c r="G7" s="40">
        <v>44550</v>
      </c>
      <c r="K7" s="1"/>
    </row>
    <row r="8" spans="1:22" x14ac:dyDescent="0.25">
      <c r="A8" s="36">
        <v>2021219949633</v>
      </c>
      <c r="B8" s="6" t="s">
        <v>11</v>
      </c>
      <c r="C8" s="4">
        <v>44440</v>
      </c>
      <c r="D8" s="4">
        <v>44620</v>
      </c>
      <c r="E8" s="3">
        <v>8500</v>
      </c>
      <c r="F8" t="s">
        <v>10</v>
      </c>
      <c r="G8" s="1">
        <v>44540</v>
      </c>
    </row>
    <row r="9" spans="1:22" x14ac:dyDescent="0.25">
      <c r="A9" s="36">
        <v>2021223302649</v>
      </c>
      <c r="B9" s="6" t="s">
        <v>11</v>
      </c>
      <c r="C9" s="4">
        <v>44407</v>
      </c>
      <c r="D9" s="4">
        <v>44587</v>
      </c>
      <c r="E9" s="3">
        <v>1863.07</v>
      </c>
      <c r="F9" t="s">
        <v>10</v>
      </c>
      <c r="G9" s="1">
        <v>44546</v>
      </c>
      <c r="H9" s="1"/>
      <c r="I9" s="1"/>
      <c r="J9" s="2"/>
    </row>
    <row r="10" spans="1:22" x14ac:dyDescent="0.25">
      <c r="A10" s="36">
        <v>2021212965048</v>
      </c>
      <c r="B10" s="6" t="s">
        <v>13</v>
      </c>
      <c r="D10" s="4" t="s">
        <v>14</v>
      </c>
      <c r="E10" s="3">
        <v>750</v>
      </c>
      <c r="F10" t="s">
        <v>10</v>
      </c>
      <c r="G10" s="1">
        <v>44540</v>
      </c>
      <c r="J10" s="2"/>
    </row>
    <row r="11" spans="1:22" x14ac:dyDescent="0.25">
      <c r="A11" s="36">
        <v>2021213498389</v>
      </c>
      <c r="B11" s="6" t="s">
        <v>13</v>
      </c>
      <c r="D11" s="4" t="s">
        <v>14</v>
      </c>
      <c r="E11" s="3">
        <v>191401.02</v>
      </c>
      <c r="F11" t="s">
        <v>12</v>
      </c>
      <c r="G11" s="40">
        <v>44530</v>
      </c>
      <c r="J11" s="2"/>
    </row>
    <row r="12" spans="1:22" x14ac:dyDescent="0.25">
      <c r="A12" s="36">
        <v>2021227143723</v>
      </c>
      <c r="B12" s="6" t="s">
        <v>11</v>
      </c>
      <c r="C12" s="4">
        <v>44345</v>
      </c>
      <c r="D12" s="4">
        <v>44525</v>
      </c>
      <c r="E12" s="3">
        <v>0</v>
      </c>
      <c r="F12" t="s">
        <v>10</v>
      </c>
      <c r="G12" s="1">
        <v>44540</v>
      </c>
      <c r="J12" s="2"/>
    </row>
    <row r="13" spans="1:22" x14ac:dyDescent="0.25">
      <c r="A13" s="36">
        <v>2021222275001</v>
      </c>
      <c r="B13" s="6" t="s">
        <v>13</v>
      </c>
      <c r="D13" s="4" t="s">
        <v>14</v>
      </c>
      <c r="E13" s="3">
        <v>1441.28</v>
      </c>
      <c r="F13" t="s">
        <v>12</v>
      </c>
      <c r="G13" s="40">
        <v>44530</v>
      </c>
      <c r="J13" s="2"/>
    </row>
    <row r="14" spans="1:22" x14ac:dyDescent="0.25">
      <c r="A14" s="36">
        <v>2021194213361</v>
      </c>
      <c r="B14" s="6" t="s">
        <v>11</v>
      </c>
      <c r="C14" s="4">
        <v>43260</v>
      </c>
      <c r="D14" s="4">
        <v>43440</v>
      </c>
      <c r="E14" s="3">
        <v>2176.73</v>
      </c>
      <c r="F14" t="s">
        <v>12</v>
      </c>
      <c r="G14" s="40">
        <v>44530</v>
      </c>
      <c r="J14" s="2"/>
    </row>
    <row r="15" spans="1:22" x14ac:dyDescent="0.25">
      <c r="A15" s="36">
        <v>2021227692859</v>
      </c>
      <c r="B15" s="6" t="s">
        <v>11</v>
      </c>
      <c r="C15" s="4">
        <v>44390</v>
      </c>
      <c r="D15" s="4">
        <v>44570</v>
      </c>
      <c r="E15" s="3">
        <v>350</v>
      </c>
      <c r="F15" t="s">
        <v>12</v>
      </c>
      <c r="G15" s="40">
        <v>44540</v>
      </c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22" x14ac:dyDescent="0.25">
      <c r="A16" s="36">
        <v>2021152756014</v>
      </c>
      <c r="B16" s="6" t="s">
        <v>11</v>
      </c>
      <c r="C16" s="4">
        <v>43490</v>
      </c>
      <c r="D16" s="4">
        <v>43670</v>
      </c>
      <c r="E16" s="3">
        <v>4217.1400000000003</v>
      </c>
      <c r="F16" t="s">
        <v>12</v>
      </c>
      <c r="G16" s="40">
        <v>44536</v>
      </c>
      <c r="J16" s="2"/>
    </row>
    <row r="17" spans="1:10" x14ac:dyDescent="0.25">
      <c r="A17" s="36">
        <v>2021219172671</v>
      </c>
      <c r="B17" s="6" t="s">
        <v>11</v>
      </c>
      <c r="C17" s="4">
        <v>40851</v>
      </c>
      <c r="D17" s="4">
        <v>41031</v>
      </c>
      <c r="E17" s="3">
        <v>9140.69</v>
      </c>
      <c r="F17" t="s">
        <v>10</v>
      </c>
      <c r="G17" s="1">
        <v>44546</v>
      </c>
      <c r="J17" s="2"/>
    </row>
    <row r="18" spans="1:10" x14ac:dyDescent="0.25">
      <c r="A18" s="36">
        <v>2021152322014</v>
      </c>
      <c r="B18" s="6" t="s">
        <v>11</v>
      </c>
      <c r="C18" s="4">
        <v>44281</v>
      </c>
      <c r="D18" s="4">
        <v>44461</v>
      </c>
      <c r="E18" s="3">
        <v>11205.53</v>
      </c>
      <c r="F18" t="s">
        <v>12</v>
      </c>
      <c r="G18" s="40">
        <v>44536</v>
      </c>
      <c r="J18" s="2"/>
    </row>
    <row r="19" spans="1:10" x14ac:dyDescent="0.25">
      <c r="A19" s="36">
        <v>2021227124851</v>
      </c>
      <c r="B19" s="6" t="s">
        <v>11</v>
      </c>
      <c r="C19" s="4">
        <v>44316</v>
      </c>
      <c r="D19" s="4">
        <v>44496</v>
      </c>
      <c r="E19" s="3">
        <v>0</v>
      </c>
      <c r="F19" t="s">
        <v>10</v>
      </c>
      <c r="G19" s="1">
        <v>44540</v>
      </c>
    </row>
    <row r="20" spans="1:10" x14ac:dyDescent="0.25">
      <c r="A20" s="36">
        <v>2021236080216</v>
      </c>
      <c r="B20" s="6" t="s">
        <v>11</v>
      </c>
      <c r="C20" s="4">
        <v>44372</v>
      </c>
      <c r="D20" s="4">
        <v>44552</v>
      </c>
      <c r="E20" s="3">
        <v>474.36</v>
      </c>
      <c r="F20" t="s">
        <v>10</v>
      </c>
      <c r="G20" s="40">
        <v>44550</v>
      </c>
    </row>
    <row r="21" spans="1:10" x14ac:dyDescent="0.25">
      <c r="A21" s="36">
        <v>2021174456358</v>
      </c>
      <c r="B21" s="6" t="s">
        <v>11</v>
      </c>
      <c r="C21" s="4">
        <v>44352</v>
      </c>
      <c r="D21" s="4">
        <v>44532</v>
      </c>
      <c r="F21" t="s">
        <v>15</v>
      </c>
      <c r="G21"/>
    </row>
    <row r="22" spans="1:10" x14ac:dyDescent="0.25">
      <c r="A22" s="36">
        <v>2021228500503</v>
      </c>
      <c r="B22" s="6" t="s">
        <v>13</v>
      </c>
      <c r="D22" s="4" t="s">
        <v>14</v>
      </c>
      <c r="E22" s="3">
        <v>3955.55</v>
      </c>
      <c r="F22" t="s">
        <v>10</v>
      </c>
      <c r="G22" s="1">
        <v>44544</v>
      </c>
    </row>
    <row r="23" spans="1:10" x14ac:dyDescent="0.25">
      <c r="A23" s="36">
        <v>2021217914883</v>
      </c>
      <c r="B23" s="6" t="s">
        <v>13</v>
      </c>
      <c r="D23" s="4" t="s">
        <v>14</v>
      </c>
      <c r="E23" s="3">
        <v>4655.24</v>
      </c>
      <c r="F23" t="s">
        <v>10</v>
      </c>
      <c r="G23" s="21">
        <v>44540</v>
      </c>
    </row>
    <row r="24" spans="1:10" x14ac:dyDescent="0.25">
      <c r="A24" s="36">
        <v>2021209884695</v>
      </c>
      <c r="B24" s="6" t="s">
        <v>11</v>
      </c>
      <c r="C24" s="4">
        <v>44419</v>
      </c>
      <c r="D24" s="4">
        <v>44599</v>
      </c>
      <c r="E24" s="3">
        <v>13042.09</v>
      </c>
      <c r="F24" t="s">
        <v>12</v>
      </c>
      <c r="G24" s="40">
        <v>44540</v>
      </c>
    </row>
    <row r="25" spans="1:10" x14ac:dyDescent="0.25">
      <c r="A25" s="36">
        <v>2021223891466</v>
      </c>
      <c r="B25" s="6" t="s">
        <v>11</v>
      </c>
      <c r="C25" s="4">
        <v>44447</v>
      </c>
      <c r="D25" s="4">
        <v>44627</v>
      </c>
      <c r="E25" s="3">
        <v>0</v>
      </c>
      <c r="F25" t="s">
        <v>10</v>
      </c>
      <c r="G25" s="21">
        <v>44539</v>
      </c>
    </row>
    <row r="26" spans="1:10" x14ac:dyDescent="0.25">
      <c r="A26" s="36">
        <v>2021224921512</v>
      </c>
      <c r="B26" s="6" t="s">
        <v>11</v>
      </c>
      <c r="C26" s="4">
        <v>44347</v>
      </c>
      <c r="D26" s="4">
        <v>44527</v>
      </c>
      <c r="E26" s="3">
        <v>0</v>
      </c>
      <c r="F26" t="s">
        <v>10</v>
      </c>
      <c r="G26" s="1">
        <v>44539</v>
      </c>
    </row>
    <row r="27" spans="1:10" x14ac:dyDescent="0.25">
      <c r="A27" s="36">
        <v>2021223193947</v>
      </c>
      <c r="B27" s="6" t="s">
        <v>11</v>
      </c>
      <c r="C27" s="4">
        <v>44464</v>
      </c>
      <c r="D27" s="4">
        <v>44644</v>
      </c>
      <c r="E27" s="3">
        <v>31964.1</v>
      </c>
      <c r="F27" t="s">
        <v>10</v>
      </c>
      <c r="G27" s="40">
        <v>44550</v>
      </c>
    </row>
    <row r="28" spans="1:10" x14ac:dyDescent="0.25">
      <c r="A28" s="36">
        <v>2021224167109</v>
      </c>
      <c r="B28" s="6" t="s">
        <v>13</v>
      </c>
      <c r="D28" s="4" t="s">
        <v>14</v>
      </c>
      <c r="E28" s="3">
        <v>0</v>
      </c>
      <c r="F28" t="s">
        <v>10</v>
      </c>
      <c r="G28" s="21">
        <v>44539</v>
      </c>
    </row>
    <row r="29" spans="1:10" x14ac:dyDescent="0.25">
      <c r="A29" s="36">
        <v>2021222477453</v>
      </c>
      <c r="B29" s="6" t="s">
        <v>11</v>
      </c>
      <c r="C29" s="4">
        <v>44204</v>
      </c>
      <c r="D29" s="4">
        <v>44384</v>
      </c>
      <c r="E29" s="3">
        <v>1643.02</v>
      </c>
      <c r="F29" t="s">
        <v>10</v>
      </c>
      <c r="G29" s="40">
        <v>44550</v>
      </c>
    </row>
    <row r="30" spans="1:10" x14ac:dyDescent="0.25">
      <c r="A30" s="36">
        <v>2021168185577</v>
      </c>
      <c r="B30" s="6" t="s">
        <v>11</v>
      </c>
      <c r="C30" s="4">
        <v>43397</v>
      </c>
      <c r="D30" s="4">
        <v>43577</v>
      </c>
      <c r="E30" s="3">
        <v>58844.84</v>
      </c>
      <c r="F30" t="s">
        <v>10</v>
      </c>
      <c r="G30" s="21">
        <v>44536</v>
      </c>
    </row>
    <row r="31" spans="1:10" x14ac:dyDescent="0.25">
      <c r="A31" s="36">
        <v>2021222128190</v>
      </c>
      <c r="B31" s="6" t="s">
        <v>11</v>
      </c>
      <c r="C31" s="4">
        <v>44437</v>
      </c>
      <c r="D31" s="4">
        <v>44617</v>
      </c>
      <c r="E31" s="3">
        <v>0</v>
      </c>
      <c r="F31" t="s">
        <v>10</v>
      </c>
      <c r="G31" s="21">
        <v>44530</v>
      </c>
    </row>
    <row r="32" spans="1:10" x14ac:dyDescent="0.25">
      <c r="A32" s="36">
        <v>2021176310814</v>
      </c>
      <c r="B32" s="6" t="s">
        <v>11</v>
      </c>
      <c r="C32" s="4">
        <v>44312</v>
      </c>
      <c r="D32" s="4">
        <v>44492</v>
      </c>
      <c r="E32" s="3">
        <v>4909.75</v>
      </c>
      <c r="F32" t="s">
        <v>10</v>
      </c>
      <c r="G32" s="21">
        <v>44530</v>
      </c>
    </row>
    <row r="33" spans="1:11" x14ac:dyDescent="0.25">
      <c r="A33" s="36">
        <v>2021222048561</v>
      </c>
      <c r="B33" s="6" t="s">
        <v>11</v>
      </c>
      <c r="C33" s="4">
        <v>44334</v>
      </c>
      <c r="D33" s="4">
        <v>44514</v>
      </c>
      <c r="E33" s="3">
        <v>0</v>
      </c>
      <c r="F33" t="s">
        <v>10</v>
      </c>
      <c r="G33" s="21">
        <v>44530</v>
      </c>
    </row>
    <row r="34" spans="1:11" x14ac:dyDescent="0.25">
      <c r="A34" s="36">
        <v>2021233585732</v>
      </c>
      <c r="B34" s="6" t="s">
        <v>11</v>
      </c>
      <c r="C34" s="4">
        <v>44477</v>
      </c>
      <c r="D34" s="4">
        <v>44657</v>
      </c>
      <c r="E34" s="3">
        <v>20881.3</v>
      </c>
      <c r="F34" t="s">
        <v>10</v>
      </c>
      <c r="G34" s="21">
        <v>44550</v>
      </c>
    </row>
    <row r="35" spans="1:11" x14ac:dyDescent="0.25">
      <c r="A35" s="36">
        <v>2021228862677</v>
      </c>
      <c r="B35" s="6" t="s">
        <v>16</v>
      </c>
      <c r="F35" t="s">
        <v>10</v>
      </c>
      <c r="G35" s="21">
        <v>44530</v>
      </c>
    </row>
    <row r="36" spans="1:11" x14ac:dyDescent="0.25">
      <c r="A36" s="36">
        <v>2021208204020</v>
      </c>
      <c r="B36" s="6" t="s">
        <v>11</v>
      </c>
      <c r="C36" s="4">
        <v>44261</v>
      </c>
      <c r="D36" s="4">
        <v>44441</v>
      </c>
      <c r="E36" s="3">
        <v>673</v>
      </c>
      <c r="F36" t="s">
        <v>10</v>
      </c>
      <c r="G36" s="21">
        <v>44530</v>
      </c>
    </row>
    <row r="37" spans="1:11" x14ac:dyDescent="0.25">
      <c r="A37" s="36">
        <v>2021227825883</v>
      </c>
      <c r="B37" s="6" t="s">
        <v>13</v>
      </c>
      <c r="D37" s="4" t="s">
        <v>14</v>
      </c>
      <c r="E37" s="3">
        <v>74358.23</v>
      </c>
      <c r="F37" t="s">
        <v>20</v>
      </c>
      <c r="G37" s="40">
        <v>44550</v>
      </c>
    </row>
    <row r="38" spans="1:11" x14ac:dyDescent="0.25">
      <c r="A38" s="44">
        <v>2021157257491</v>
      </c>
      <c r="B38" s="6" t="s">
        <v>11</v>
      </c>
      <c r="C38" s="4">
        <v>44353</v>
      </c>
      <c r="D38" s="4">
        <v>44533</v>
      </c>
      <c r="E38" s="3">
        <v>464.06</v>
      </c>
      <c r="F38" t="s">
        <v>12</v>
      </c>
      <c r="G38" s="21">
        <v>44552</v>
      </c>
    </row>
    <row r="39" spans="1:11" x14ac:dyDescent="0.25">
      <c r="A39" s="36">
        <v>2021229454556</v>
      </c>
      <c r="B39" s="6" t="s">
        <v>16</v>
      </c>
      <c r="F39" t="s">
        <v>10</v>
      </c>
      <c r="G39" s="21">
        <v>44530</v>
      </c>
    </row>
    <row r="40" spans="1:11" x14ac:dyDescent="0.25">
      <c r="A40" s="44">
        <v>2021214773421</v>
      </c>
      <c r="B40" s="6" t="s">
        <v>13</v>
      </c>
      <c r="D40" s="4" t="s">
        <v>14</v>
      </c>
      <c r="E40" s="3">
        <v>2702.29</v>
      </c>
      <c r="F40" t="s">
        <v>12</v>
      </c>
      <c r="G40" s="21">
        <v>44552</v>
      </c>
    </row>
    <row r="41" spans="1:11" x14ac:dyDescent="0.25">
      <c r="A41" s="36">
        <v>2021207104803</v>
      </c>
      <c r="B41" s="6" t="s">
        <v>11</v>
      </c>
      <c r="C41" s="4">
        <v>44440</v>
      </c>
      <c r="D41" s="4">
        <v>44620</v>
      </c>
      <c r="F41" t="s">
        <v>15</v>
      </c>
      <c r="G41"/>
    </row>
    <row r="42" spans="1:11" x14ac:dyDescent="0.25">
      <c r="A42" s="36">
        <v>2021211348401</v>
      </c>
      <c r="B42" s="6" t="s">
        <v>11</v>
      </c>
      <c r="C42" s="4">
        <v>44084</v>
      </c>
      <c r="D42" s="4">
        <v>44264</v>
      </c>
      <c r="E42" s="3">
        <v>5093.46</v>
      </c>
      <c r="F42" t="s">
        <v>10</v>
      </c>
      <c r="G42" s="21">
        <v>44530</v>
      </c>
    </row>
    <row r="43" spans="1:11" x14ac:dyDescent="0.25">
      <c r="A43" s="36">
        <v>2021208319455</v>
      </c>
      <c r="B43" s="6" t="s">
        <v>11</v>
      </c>
      <c r="C43" s="4">
        <v>44347</v>
      </c>
      <c r="D43" s="4">
        <v>44527</v>
      </c>
      <c r="F43" t="s">
        <v>15</v>
      </c>
      <c r="G43" s="1">
        <v>44546</v>
      </c>
    </row>
    <row r="44" spans="1:11" x14ac:dyDescent="0.25">
      <c r="A44" s="36">
        <v>2020009246236</v>
      </c>
      <c r="B44" s="5" t="s">
        <v>11</v>
      </c>
      <c r="C44" s="4">
        <v>42883</v>
      </c>
      <c r="D44" s="4">
        <v>43063</v>
      </c>
      <c r="E44" s="3">
        <v>2556.67</v>
      </c>
      <c r="F44" t="s">
        <v>10</v>
      </c>
      <c r="G44" s="21">
        <v>44530</v>
      </c>
      <c r="J44" s="2"/>
      <c r="K44" s="2"/>
    </row>
    <row r="45" spans="1:11" x14ac:dyDescent="0.25">
      <c r="A45" s="36">
        <v>2021213333037</v>
      </c>
      <c r="B45" s="6" t="s">
        <v>11</v>
      </c>
      <c r="C45" s="4">
        <v>42425</v>
      </c>
      <c r="D45" s="4">
        <v>42605</v>
      </c>
      <c r="E45" s="3">
        <v>0</v>
      </c>
      <c r="F45" t="s">
        <v>10</v>
      </c>
      <c r="G45" s="21">
        <v>44530</v>
      </c>
    </row>
    <row r="46" spans="1:11" x14ac:dyDescent="0.25">
      <c r="A46" s="36">
        <v>2021227939200</v>
      </c>
      <c r="B46" s="6" t="s">
        <v>11</v>
      </c>
      <c r="C46" s="4">
        <v>44452</v>
      </c>
      <c r="D46" s="4">
        <v>44632</v>
      </c>
      <c r="E46" s="3">
        <v>10934.09</v>
      </c>
      <c r="F46" t="s">
        <v>12</v>
      </c>
      <c r="G46" s="40">
        <v>44552</v>
      </c>
    </row>
    <row r="47" spans="1:11" x14ac:dyDescent="0.25">
      <c r="A47" s="42">
        <v>2021229283905</v>
      </c>
      <c r="B47" s="6" t="s">
        <v>13</v>
      </c>
      <c r="D47" s="4" t="s">
        <v>14</v>
      </c>
      <c r="E47" s="3">
        <v>3742.51</v>
      </c>
      <c r="F47" t="s">
        <v>12</v>
      </c>
      <c r="G47" s="21">
        <v>44552</v>
      </c>
    </row>
    <row r="48" spans="1:11" x14ac:dyDescent="0.25">
      <c r="A48" s="36">
        <v>2021218889106</v>
      </c>
      <c r="B48" s="6" t="s">
        <v>11</v>
      </c>
      <c r="C48" s="4">
        <v>38916</v>
      </c>
      <c r="D48" s="4">
        <v>39096</v>
      </c>
      <c r="E48" s="3">
        <v>2970.46</v>
      </c>
      <c r="F48" t="s">
        <v>10</v>
      </c>
      <c r="G48" s="21">
        <v>44530</v>
      </c>
    </row>
    <row r="49" spans="1:9" x14ac:dyDescent="0.25">
      <c r="A49" s="36">
        <v>2021222506500</v>
      </c>
      <c r="B49" s="6" t="s">
        <v>13</v>
      </c>
      <c r="D49" s="4" t="s">
        <v>14</v>
      </c>
      <c r="E49" s="3">
        <v>0</v>
      </c>
      <c r="F49" t="s">
        <v>10</v>
      </c>
      <c r="G49" s="21">
        <v>44530</v>
      </c>
    </row>
    <row r="50" spans="1:9" x14ac:dyDescent="0.25">
      <c r="A50" s="36">
        <v>2021223549733</v>
      </c>
      <c r="B50" s="6" t="s">
        <v>11</v>
      </c>
      <c r="C50" s="4">
        <v>39603</v>
      </c>
      <c r="D50" s="4">
        <v>39783</v>
      </c>
      <c r="E50" s="3">
        <v>6799.4</v>
      </c>
      <c r="F50" t="s">
        <v>10</v>
      </c>
      <c r="G50" s="21">
        <v>44530</v>
      </c>
    </row>
    <row r="51" spans="1:9" x14ac:dyDescent="0.25">
      <c r="A51" s="36">
        <v>2021226923385</v>
      </c>
      <c r="B51" s="6" t="s">
        <v>11</v>
      </c>
      <c r="C51" s="4">
        <v>42317</v>
      </c>
      <c r="D51" s="4">
        <v>42497</v>
      </c>
      <c r="E51" s="3">
        <v>3391.6</v>
      </c>
      <c r="F51" t="s">
        <v>10</v>
      </c>
      <c r="G51" s="1">
        <v>44540</v>
      </c>
    </row>
    <row r="52" spans="1:9" x14ac:dyDescent="0.25">
      <c r="A52" s="36">
        <v>2021218612392</v>
      </c>
      <c r="B52" s="6" t="s">
        <v>11</v>
      </c>
      <c r="C52" s="4">
        <v>39802</v>
      </c>
      <c r="D52" s="4">
        <v>39982</v>
      </c>
      <c r="E52" s="3">
        <v>1679.58</v>
      </c>
      <c r="F52" t="s">
        <v>10</v>
      </c>
      <c r="G52" s="21">
        <v>44530</v>
      </c>
    </row>
    <row r="53" spans="1:9" x14ac:dyDescent="0.25">
      <c r="A53" s="42">
        <v>2021237694293</v>
      </c>
      <c r="B53" s="6" t="s">
        <v>11</v>
      </c>
      <c r="C53" s="4">
        <v>44497</v>
      </c>
      <c r="D53" s="4">
        <v>44677</v>
      </c>
      <c r="E53" s="3">
        <v>42.5</v>
      </c>
      <c r="F53" t="s">
        <v>12</v>
      </c>
      <c r="G53" s="21">
        <v>44553</v>
      </c>
    </row>
    <row r="54" spans="1:9" x14ac:dyDescent="0.25">
      <c r="A54" s="36">
        <v>2021223537701</v>
      </c>
      <c r="B54" s="6" t="s">
        <v>11</v>
      </c>
      <c r="C54" s="4">
        <v>39494</v>
      </c>
      <c r="D54" s="4">
        <v>39674</v>
      </c>
      <c r="E54" s="3">
        <v>2069.0700000000002</v>
      </c>
      <c r="F54" t="s">
        <v>10</v>
      </c>
      <c r="G54" s="21">
        <v>44530</v>
      </c>
    </row>
    <row r="55" spans="1:9" x14ac:dyDescent="0.25">
      <c r="A55" s="36">
        <v>2021212550565</v>
      </c>
      <c r="B55" s="6" t="s">
        <v>13</v>
      </c>
      <c r="D55" s="4" t="s">
        <v>14</v>
      </c>
      <c r="F55" t="s">
        <v>19</v>
      </c>
      <c r="G55" s="21">
        <v>44546</v>
      </c>
      <c r="I55" s="2"/>
    </row>
    <row r="56" spans="1:9" x14ac:dyDescent="0.25">
      <c r="A56" s="36">
        <v>2021233589908</v>
      </c>
      <c r="B56" s="6" t="s">
        <v>13</v>
      </c>
      <c r="D56" s="4" t="s">
        <v>14</v>
      </c>
      <c r="E56" s="3">
        <v>0</v>
      </c>
      <c r="F56" t="s">
        <v>10</v>
      </c>
      <c r="G56" s="21">
        <v>44546</v>
      </c>
      <c r="I56" s="2"/>
    </row>
    <row r="57" spans="1:9" x14ac:dyDescent="0.25">
      <c r="A57" s="36">
        <v>2021228827316</v>
      </c>
      <c r="B57" s="6" t="s">
        <v>11</v>
      </c>
      <c r="C57" s="4">
        <v>44486</v>
      </c>
      <c r="D57" s="4">
        <v>44666</v>
      </c>
      <c r="F57" t="s">
        <v>3</v>
      </c>
      <c r="G57" s="40">
        <v>44540</v>
      </c>
      <c r="I57" s="2"/>
    </row>
    <row r="58" spans="1:9" x14ac:dyDescent="0.25">
      <c r="A58" s="36">
        <v>2021222957226</v>
      </c>
      <c r="B58" s="6" t="s">
        <v>11</v>
      </c>
      <c r="C58" s="4">
        <v>43809</v>
      </c>
      <c r="D58" s="4">
        <v>43989</v>
      </c>
      <c r="E58" s="3">
        <v>7839.9</v>
      </c>
      <c r="F58" t="s">
        <v>10</v>
      </c>
      <c r="G58" s="21">
        <v>44546</v>
      </c>
      <c r="I58" s="2"/>
    </row>
    <row r="59" spans="1:9" x14ac:dyDescent="0.25">
      <c r="A59" s="36">
        <v>2021199091817</v>
      </c>
      <c r="B59" s="6" t="s">
        <v>11</v>
      </c>
      <c r="C59" s="4">
        <v>44399</v>
      </c>
      <c r="D59" s="4">
        <v>44579</v>
      </c>
      <c r="F59" t="s">
        <v>3</v>
      </c>
      <c r="G59" s="40">
        <v>44539</v>
      </c>
      <c r="I59" s="2"/>
    </row>
    <row r="60" spans="1:9" x14ac:dyDescent="0.25">
      <c r="A60" s="36">
        <v>2021233584779</v>
      </c>
      <c r="B60" s="6" t="s">
        <v>13</v>
      </c>
      <c r="D60" s="4" t="s">
        <v>14</v>
      </c>
      <c r="E60" s="3">
        <v>0</v>
      </c>
      <c r="F60" t="s">
        <v>10</v>
      </c>
      <c r="G60" s="21">
        <v>44546</v>
      </c>
      <c r="I60" s="2"/>
    </row>
    <row r="61" spans="1:9" x14ac:dyDescent="0.25">
      <c r="A61" s="36">
        <v>2021221667739</v>
      </c>
      <c r="B61" s="6" t="s">
        <v>11</v>
      </c>
      <c r="C61" s="4">
        <v>44458</v>
      </c>
      <c r="D61" s="4">
        <v>44638</v>
      </c>
      <c r="E61" s="3">
        <v>5525</v>
      </c>
      <c r="F61" t="s">
        <v>10</v>
      </c>
      <c r="G61" s="21">
        <v>44546</v>
      </c>
      <c r="I61" s="2"/>
    </row>
    <row r="62" spans="1:9" x14ac:dyDescent="0.25">
      <c r="A62" s="36">
        <v>2021234448615</v>
      </c>
      <c r="B62" s="6" t="s">
        <v>11</v>
      </c>
      <c r="C62" s="4">
        <v>44307</v>
      </c>
      <c r="D62" s="4">
        <v>44487</v>
      </c>
      <c r="E62" s="3">
        <v>0</v>
      </c>
      <c r="F62" t="s">
        <v>10</v>
      </c>
      <c r="G62" s="21">
        <v>44550</v>
      </c>
      <c r="I62" s="2"/>
    </row>
    <row r="63" spans="1:9" x14ac:dyDescent="0.25">
      <c r="A63" s="36">
        <v>2021228787152</v>
      </c>
      <c r="B63" s="6" t="s">
        <v>13</v>
      </c>
      <c r="D63" s="4" t="s">
        <v>14</v>
      </c>
      <c r="E63" s="3">
        <v>0</v>
      </c>
      <c r="F63" t="s">
        <v>10</v>
      </c>
      <c r="G63" s="40">
        <v>44552</v>
      </c>
      <c r="I63" s="2"/>
    </row>
    <row r="64" spans="1:9" x14ac:dyDescent="0.25">
      <c r="A64" s="36">
        <v>2021222139205</v>
      </c>
      <c r="B64" s="6" t="s">
        <v>11</v>
      </c>
      <c r="C64" s="4">
        <v>44350</v>
      </c>
      <c r="D64" s="4">
        <v>44530</v>
      </c>
      <c r="F64" t="s">
        <v>3</v>
      </c>
      <c r="G64" s="40">
        <v>44530</v>
      </c>
      <c r="I64" s="2"/>
    </row>
    <row r="65" spans="1:7" x14ac:dyDescent="0.25">
      <c r="A65" s="36">
        <v>2021150844129</v>
      </c>
      <c r="B65" s="6" t="s">
        <v>11</v>
      </c>
      <c r="C65" s="4">
        <v>44298</v>
      </c>
      <c r="D65" s="4">
        <v>44478</v>
      </c>
      <c r="F65" t="s">
        <v>3</v>
      </c>
      <c r="G65" s="40">
        <v>44530</v>
      </c>
    </row>
    <row r="66" spans="1:7" x14ac:dyDescent="0.25">
      <c r="A66" s="45">
        <v>2021233479801</v>
      </c>
      <c r="B66" s="6" t="s">
        <v>13</v>
      </c>
      <c r="D66" s="4" t="s">
        <v>14</v>
      </c>
      <c r="F66" t="s">
        <v>3</v>
      </c>
      <c r="G66" s="21">
        <v>44546</v>
      </c>
    </row>
    <row r="67" spans="1:7" x14ac:dyDescent="0.25">
      <c r="A67" s="37">
        <v>2021236199647</v>
      </c>
      <c r="B67" s="6" t="s">
        <v>11</v>
      </c>
      <c r="C67" s="4">
        <v>43673</v>
      </c>
      <c r="D67" s="4">
        <v>43853</v>
      </c>
      <c r="F67" t="s">
        <v>3</v>
      </c>
      <c r="G67" s="21">
        <v>44552</v>
      </c>
    </row>
    <row r="68" spans="1:7" x14ac:dyDescent="0.25">
      <c r="A68" s="37">
        <v>2021234932622</v>
      </c>
      <c r="B68" s="6" t="s">
        <v>11</v>
      </c>
      <c r="C68" s="4">
        <v>43489</v>
      </c>
      <c r="D68" s="4">
        <v>43669</v>
      </c>
      <c r="F68" t="s">
        <v>3</v>
      </c>
      <c r="G68" s="21">
        <v>44552</v>
      </c>
    </row>
    <row r="69" spans="1:7" x14ac:dyDescent="0.25">
      <c r="A69" s="37">
        <v>2021237844309</v>
      </c>
      <c r="B69" s="6" t="s">
        <v>13</v>
      </c>
      <c r="D69" s="4" t="s">
        <v>14</v>
      </c>
      <c r="F69" t="s">
        <v>3</v>
      </c>
      <c r="G69" s="21">
        <v>44553</v>
      </c>
    </row>
    <row r="70" spans="1:7" x14ac:dyDescent="0.25">
      <c r="A70" s="43">
        <v>2021238505672</v>
      </c>
      <c r="B70" s="6" t="s">
        <v>13</v>
      </c>
      <c r="D70" s="4" t="s">
        <v>14</v>
      </c>
      <c r="E70" s="3">
        <v>0</v>
      </c>
      <c r="F70" t="s">
        <v>10</v>
      </c>
      <c r="G70" s="40">
        <v>44553</v>
      </c>
    </row>
    <row r="71" spans="1:7" x14ac:dyDescent="0.25">
      <c r="A71" s="37">
        <v>2021235964269</v>
      </c>
      <c r="B71" s="6" t="s">
        <v>11</v>
      </c>
      <c r="C71" s="4">
        <v>44008</v>
      </c>
      <c r="D71" s="4">
        <v>44188</v>
      </c>
      <c r="F71" t="s">
        <v>3</v>
      </c>
      <c r="G71" s="21">
        <v>44552</v>
      </c>
    </row>
    <row r="72" spans="1:7" x14ac:dyDescent="0.25">
      <c r="A72" s="37">
        <v>2021232297202</v>
      </c>
      <c r="B72" s="6" t="s">
        <v>11</v>
      </c>
      <c r="C72" s="4">
        <v>44452</v>
      </c>
      <c r="D72" s="4">
        <v>44632</v>
      </c>
      <c r="F72" t="s">
        <v>3</v>
      </c>
      <c r="G72" s="21">
        <v>44551</v>
      </c>
    </row>
    <row r="73" spans="1:7" x14ac:dyDescent="0.25">
      <c r="A73" s="37">
        <v>2021234350658</v>
      </c>
      <c r="B73" s="6" t="s">
        <v>11</v>
      </c>
      <c r="C73" s="4">
        <v>44375</v>
      </c>
      <c r="D73" s="4">
        <v>44555</v>
      </c>
      <c r="F73" t="s">
        <v>3</v>
      </c>
      <c r="G73" s="21">
        <v>44551</v>
      </c>
    </row>
    <row r="74" spans="1:7" x14ac:dyDescent="0.25">
      <c r="A74" s="43">
        <v>2021238439467</v>
      </c>
      <c r="B74" s="6" t="s">
        <v>11</v>
      </c>
      <c r="C74" s="4">
        <v>44350</v>
      </c>
      <c r="D74" s="4">
        <v>44530</v>
      </c>
      <c r="F74" t="s">
        <v>3</v>
      </c>
      <c r="G74" s="40">
        <v>44553</v>
      </c>
    </row>
    <row r="75" spans="1:7" x14ac:dyDescent="0.25">
      <c r="A75" s="43">
        <v>2021239216747</v>
      </c>
      <c r="B75" s="6" t="s">
        <v>13</v>
      </c>
      <c r="D75" s="4" t="s">
        <v>14</v>
      </c>
      <c r="F75" t="s">
        <v>3</v>
      </c>
      <c r="G75" s="40">
        <v>44553</v>
      </c>
    </row>
    <row r="76" spans="1:7" x14ac:dyDescent="0.25">
      <c r="A76" s="43">
        <v>2021239497959</v>
      </c>
      <c r="B76" s="6" t="s">
        <v>11</v>
      </c>
      <c r="C76" s="4">
        <v>44456</v>
      </c>
      <c r="D76" s="4">
        <v>44636</v>
      </c>
      <c r="F76" t="s">
        <v>3</v>
      </c>
      <c r="G76" s="40">
        <v>44553</v>
      </c>
    </row>
    <row r="77" spans="1:7" x14ac:dyDescent="0.25">
      <c r="A77" s="43">
        <v>2021238261706</v>
      </c>
      <c r="B77" s="6" t="s">
        <v>11</v>
      </c>
      <c r="C77" s="4">
        <v>43573</v>
      </c>
      <c r="D77" s="4">
        <v>43753</v>
      </c>
      <c r="E77" s="3">
        <v>0</v>
      </c>
      <c r="F77" t="s">
        <v>10</v>
      </c>
      <c r="G77" s="40">
        <v>44553</v>
      </c>
    </row>
    <row r="78" spans="1:7" x14ac:dyDescent="0.25">
      <c r="A78" s="43">
        <v>2021239436941</v>
      </c>
      <c r="B78" s="6" t="s">
        <v>11</v>
      </c>
      <c r="C78" s="4">
        <v>42642</v>
      </c>
      <c r="D78" s="4">
        <v>42822</v>
      </c>
      <c r="E78" s="3">
        <v>1882.26</v>
      </c>
      <c r="F78" t="s">
        <v>12</v>
      </c>
      <c r="G78" s="40">
        <v>44553</v>
      </c>
    </row>
    <row r="79" spans="1:7" x14ac:dyDescent="0.25">
      <c r="G79" s="40"/>
    </row>
  </sheetData>
  <autoFilter ref="A5:G78" xr:uid="{BC43250F-08EA-49B9-B9F6-E18B6C0608B9}"/>
  <mergeCells count="1">
    <mergeCell ref="A1:K1"/>
  </mergeCells>
  <conditionalFormatting sqref="D6:D3997">
    <cfRule type="expression" dxfId="8" priority="7">
      <formula>$D6-90&gt;TODAY()</formula>
    </cfRule>
    <cfRule type="expression" dxfId="7" priority="11">
      <formula>$D6&lt;TODAY()</formula>
    </cfRule>
  </conditionalFormatting>
  <conditionalFormatting sqref="D6:D1048576">
    <cfRule type="expression" priority="5" stopIfTrue="1">
      <formula>$D6=""</formula>
    </cfRule>
  </conditionalFormatting>
  <conditionalFormatting sqref="E6:E9997">
    <cfRule type="cellIs" dxfId="6" priority="3" operator="greaterThan">
      <formula>10000</formula>
    </cfRule>
  </conditionalFormatting>
  <conditionalFormatting sqref="F6:F9997">
    <cfRule type="cellIs" dxfId="5" priority="1" operator="equal">
      <formula>"Aguardando PG"</formula>
    </cfRule>
    <cfRule type="cellIs" dxfId="4" priority="2" operator="equal">
      <formula>"Analisando"</formula>
    </cfRule>
    <cfRule type="cellIs" dxfId="3" priority="9" operator="equal">
      <formula>"Concluído"</formula>
    </cfRule>
    <cfRule type="cellIs" dxfId="2" priority="10" operator="equal">
      <formula>"Pendente"</formula>
    </cfRule>
  </conditionalFormatting>
  <dataValidations count="7">
    <dataValidation type="list" allowBlank="1" showInputMessage="1" showErrorMessage="1" errorTitle="ERRO" error="Opção não está na listagem. Escolha um valor correto." sqref="F2:F5" xr:uid="{11E7499D-7D78-4389-8AAD-A8C71B1159B2}">
      <formula1>"Em análise,Pendente,Concluído,Transferido,DF"</formula1>
    </dataValidation>
    <dataValidation type="list" allowBlank="1" showInputMessage="1" showErrorMessage="1" sqref="B2:B1048576" xr:uid="{BDB9BAD6-9EC2-4DFD-A920-1B57BD281282}">
      <formula1>"Causa Mortis,Doação,Excedente de Meação,Extinção de Usufruto,Numerário,Avaliação de Bens"</formula1>
    </dataValidation>
    <dataValidation type="custom" allowBlank="1" showInputMessage="1" showErrorMessage="1" errorTitle="ERRO" error="Este protocolo já está na listagem." sqref="A5" xr:uid="{57347E58-64C8-4E4C-9D08-4F9F93005852}">
      <formula1>NOT(COUNTIF($A$6:$A$3001,$A6)&gt;1)</formula1>
    </dataValidation>
    <dataValidation type="custom" allowBlank="1" showInputMessage="1" showErrorMessage="1" sqref="A7:A15 A48:A1048576" xr:uid="{4DE8D376-C968-4087-AA73-85E2F8A7691B}">
      <formula1>NOT(COUNTIF($A$6:$A$10000,$A7)&gt;1)</formula1>
    </dataValidation>
    <dataValidation allowBlank="1" showInputMessage="1" showErrorMessage="1" errorTitle="Erro" error="Opção não está na listagem" sqref="C2:D1048576" xr:uid="{5F3CD198-7A66-490A-88B5-046683B570DE}"/>
    <dataValidation type="custom" allowBlank="1" showInputMessage="1" showErrorMessage="1" errorTitle="ERRO" error="Esse protocolo já está presente na lista." sqref="A6" xr:uid="{CFEB44AB-36DC-4333-909C-2D6CF18AD9F9}">
      <formula1>NOT(COUNTIF($A$6:$A$10000,$A6)&gt;1)</formula1>
    </dataValidation>
    <dataValidation type="list" allowBlank="1" showInputMessage="1" showErrorMessage="1" errorTitle="ERRO" error="Selecione um item da lista" sqref="F6:F1048576" xr:uid="{786C7EA9-8E2B-4BF0-9A43-B6287FEF34E4}">
      <formula1>"Em análise,Analisando,Pendente,Aguardando PG,Concluído,Cancelado,Transferido,DF"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15BCF8-4E43-4CD8-8147-BDCFD5AA3F23}">
  <sheetPr codeName="Sheet2"/>
  <dimension ref="A1:ZV500"/>
  <sheetViews>
    <sheetView workbookViewId="0">
      <selection activeCell="A3" sqref="A3"/>
    </sheetView>
  </sheetViews>
  <sheetFormatPr defaultRowHeight="15" x14ac:dyDescent="0.25"/>
  <cols>
    <col min="1" max="1" width="24.140625" style="33" bestFit="1" customWidth="1"/>
    <col min="2" max="2" width="21.42578125" style="29" customWidth="1"/>
    <col min="3" max="3" width="16.28515625" style="30" bestFit="1" customWidth="1"/>
    <col min="4" max="4" width="14.7109375" style="25" customWidth="1"/>
    <col min="5" max="5" width="15" style="25" customWidth="1"/>
    <col min="6" max="6" width="10.85546875" style="25" customWidth="1"/>
    <col min="7" max="698" width="9.140625" style="25"/>
  </cols>
  <sheetData>
    <row r="1" spans="1:6" s="25" customFormat="1" ht="15.75" x14ac:dyDescent="0.25">
      <c r="A1" s="22" t="s">
        <v>4</v>
      </c>
      <c r="B1" s="23" t="s">
        <v>5</v>
      </c>
      <c r="C1" s="24" t="s">
        <v>17</v>
      </c>
      <c r="D1" s="24" t="s">
        <v>18</v>
      </c>
    </row>
    <row r="2" spans="1:6" x14ac:dyDescent="0.25">
      <c r="A2" s="32">
        <v>2021237844309</v>
      </c>
      <c r="B2" s="26" t="str">
        <f>_xlfn.IFNA(IF($A2&lt;&gt;"",VLOOKUP($A2,Protocolos!$A$6:$G$9997,2,FALSE),""),"Não localizado")</f>
        <v>Doação</v>
      </c>
      <c r="C2" s="31">
        <f>_xlfn.IFNA(IF($A2&lt;&gt;"",VLOOKUP($A2,Protocolos!$A$6:$G$9997,7,FALSE),""),"Não localizado")</f>
        <v>44553</v>
      </c>
      <c r="D2" s="31" t="str">
        <f>_xlfn.IFNA(IF($A2&lt;&gt;"",VLOOKUP($A2,Protocolos!$A$6:$G$9997,6,FALSE),""),"Não localizado")</f>
        <v>Pendente</v>
      </c>
    </row>
    <row r="3" spans="1:6" x14ac:dyDescent="0.25">
      <c r="A3" s="32">
        <v>2021237694293</v>
      </c>
      <c r="B3" s="26"/>
      <c r="C3" s="31">
        <f>_xlfn.IFNA(IF($A3&lt;&gt;"",VLOOKUP($A3,Protocolos!$A$6:$G$9997,7,FALSE),""),"Não localizado")</f>
        <v>44553</v>
      </c>
      <c r="D3" s="31" t="str">
        <f>_xlfn.IFNA(IF($A3&lt;&gt;"",VLOOKUP($A3,Protocolos!$A$6:$G$9997,6,FALSE),""),"Não localizado")</f>
        <v>Aguardando PG</v>
      </c>
    </row>
    <row r="4" spans="1:6" x14ac:dyDescent="0.25">
      <c r="A4" s="32">
        <v>2021238261706</v>
      </c>
      <c r="B4" s="26" t="str">
        <f>_xlfn.IFNA(IF($A4&lt;&gt;"",VLOOKUP($A4,Protocolos!$A$6:$G$9997,2,FALSE),""),"Não localizado")</f>
        <v>Causa Mortis</v>
      </c>
      <c r="C4" s="31">
        <f>_xlfn.IFNA(IF($A4&lt;&gt;"",VLOOKUP($A4,Protocolos!$A$6:$G$9997,7,FALSE),""),"Não localizado")</f>
        <v>44553</v>
      </c>
      <c r="D4" s="31" t="str">
        <f>_xlfn.IFNA(IF($A4&lt;&gt;"",VLOOKUP($A4,Protocolos!$A$6:$G$9997,6,FALSE),""),"Não localizado")</f>
        <v>Concluído</v>
      </c>
    </row>
    <row r="5" spans="1:6" x14ac:dyDescent="0.25">
      <c r="A5" s="32">
        <v>2021238439467</v>
      </c>
      <c r="B5" s="26" t="str">
        <f>_xlfn.IFNA(IF($A5&lt;&gt;"",VLOOKUP($A5,Protocolos!$A$6:$G$9997,2,FALSE),""),"Não localizado")</f>
        <v>Causa Mortis</v>
      </c>
      <c r="C5" s="31">
        <f>_xlfn.IFNA(IF($A5&lt;&gt;"",VLOOKUP($A5,Protocolos!$A$6:$G$9997,7,FALSE),""),"Não localizado")</f>
        <v>44553</v>
      </c>
      <c r="D5" s="31" t="str">
        <f>_xlfn.IFNA(IF($A5&lt;&gt;"",VLOOKUP($A5,Protocolos!$A$6:$G$9997,6,FALSE),""),"Não localizado")</f>
        <v>Pendente</v>
      </c>
      <c r="E5" s="27"/>
      <c r="F5" s="28"/>
    </row>
    <row r="6" spans="1:6" x14ac:dyDescent="0.25">
      <c r="A6" s="32">
        <v>2021239216747</v>
      </c>
      <c r="B6" s="26" t="str">
        <f>_xlfn.IFNA(IF($A6&lt;&gt;"",VLOOKUP($A6,Protocolos!$A$6:$G$9997,2,FALSE),""),"Não localizado")</f>
        <v>Doação</v>
      </c>
      <c r="C6" s="31">
        <f>_xlfn.IFNA(IF($A6&lt;&gt;"",VLOOKUP($A6,Protocolos!$A$6:$G$9997,7,FALSE),""),"Não localizado")</f>
        <v>44553</v>
      </c>
      <c r="D6" s="31" t="str">
        <f>_xlfn.IFNA(IF($A6&lt;&gt;"",VLOOKUP($A6,Protocolos!$A$6:$G$9997,6,FALSE),""),"Não localizado")</f>
        <v>Pendente</v>
      </c>
    </row>
    <row r="7" spans="1:6" x14ac:dyDescent="0.25">
      <c r="A7" s="32">
        <v>2021239436941</v>
      </c>
      <c r="B7" s="26" t="str">
        <f>_xlfn.IFNA(IF($A7&lt;&gt;"",VLOOKUP($A7,Protocolos!$A$6:$G$9997,2,FALSE),""),"Não localizado")</f>
        <v>Causa Mortis</v>
      </c>
      <c r="C7" s="31">
        <f>_xlfn.IFNA(IF($A7&lt;&gt;"",VLOOKUP($A7,Protocolos!$A$6:$G$9997,7,FALSE),""),"Não localizado")</f>
        <v>44553</v>
      </c>
      <c r="D7" s="31" t="str">
        <f>_xlfn.IFNA(IF($A7&lt;&gt;"",VLOOKUP($A7,Protocolos!$A$6:$G$9997,6,FALSE),""),"Não localizado")</f>
        <v>Aguardando PG</v>
      </c>
    </row>
    <row r="8" spans="1:6" x14ac:dyDescent="0.25">
      <c r="A8" s="32">
        <v>2021238505672</v>
      </c>
      <c r="B8" s="26" t="str">
        <f>_xlfn.IFNA(IF($A8&lt;&gt;"",VLOOKUP($A8,Protocolos!$A$6:$G$9997,2,FALSE),""),"Não localizado")</f>
        <v>Doação</v>
      </c>
      <c r="C8" s="31">
        <f>_xlfn.IFNA(IF($A8&lt;&gt;"",VLOOKUP($A8,Protocolos!$A$6:$G$9997,7,FALSE),""),"Não localizado")</f>
        <v>44553</v>
      </c>
      <c r="D8" s="31" t="str">
        <f>_xlfn.IFNA(IF($A8&lt;&gt;"",VLOOKUP($A8,Protocolos!$A$6:$G$9997,6,FALSE),""),"Não localizado")</f>
        <v>Concluído</v>
      </c>
    </row>
    <row r="9" spans="1:6" x14ac:dyDescent="0.25">
      <c r="A9" s="32">
        <v>2021239497959</v>
      </c>
      <c r="B9" s="26" t="str">
        <f>_xlfn.IFNA(IF($A9&lt;&gt;"",VLOOKUP($A9,Protocolos!$A$6:$G$9997,2,FALSE),""),"Não localizado")</f>
        <v>Causa Mortis</v>
      </c>
      <c r="C9" s="31">
        <f>_xlfn.IFNA(IF($A9&lt;&gt;"",VLOOKUP($A9,Protocolos!$A$6:$G$9997,7,FALSE),""),"Não localizado")</f>
        <v>44553</v>
      </c>
      <c r="D9" s="31" t="str">
        <f>_xlfn.IFNA(IF($A9&lt;&gt;"",VLOOKUP($A9,Protocolos!$A$6:$G$9997,6,FALSE),""),"Não localizado")</f>
        <v>Pendente</v>
      </c>
    </row>
    <row r="10" spans="1:6" x14ac:dyDescent="0.25">
      <c r="A10" s="32"/>
      <c r="B10" s="26" t="str">
        <f>_xlfn.IFNA(IF($A10&lt;&gt;"",VLOOKUP($A10,Protocolos!$A$6:$G$9997,2,FALSE),""),"Não localizado")</f>
        <v/>
      </c>
      <c r="C10" s="31" t="str">
        <f>_xlfn.IFNA(IF($A10&lt;&gt;"",VLOOKUP($A10,Protocolos!$A$6:$G$9997,7,FALSE),""),"Não localizado")</f>
        <v/>
      </c>
      <c r="D10" s="31" t="str">
        <f>_xlfn.IFNA(IF($A10&lt;&gt;"",VLOOKUP($A10,Protocolos!$A$6:$G$9997,6,FALSE),""),"Não localizado")</f>
        <v/>
      </c>
    </row>
    <row r="11" spans="1:6" x14ac:dyDescent="0.25">
      <c r="A11" s="32"/>
      <c r="B11" s="26" t="str">
        <f>_xlfn.IFNA(IF($A11&lt;&gt;"",VLOOKUP($A11,Protocolos!$A$6:$G$9997,2,FALSE),""),"Não localizado")</f>
        <v/>
      </c>
      <c r="C11" s="31" t="str">
        <f>_xlfn.IFNA(IF($A11&lt;&gt;"",VLOOKUP($A11,Protocolos!$A$6:$G$9997,7,FALSE),""),"Não localizado")</f>
        <v/>
      </c>
      <c r="D11" s="31" t="str">
        <f>_xlfn.IFNA(IF($A11&lt;&gt;"",VLOOKUP($A11,Protocolos!$A$6:$G$9997,6,FALSE),""),"Não localizado")</f>
        <v/>
      </c>
    </row>
    <row r="12" spans="1:6" x14ac:dyDescent="0.25">
      <c r="A12" s="32"/>
      <c r="B12" s="26" t="str">
        <f>_xlfn.IFNA(IF($A12&lt;&gt;"",VLOOKUP($A12,Protocolos!$A$6:$G$9997,2,FALSE),""),"Não localizado")</f>
        <v/>
      </c>
      <c r="C12" s="31" t="str">
        <f>_xlfn.IFNA(IF($A12&lt;&gt;"",VLOOKUP($A12,Protocolos!$A$6:$G$9997,7,FALSE),""),"Não localizado")</f>
        <v/>
      </c>
      <c r="D12" s="31" t="str">
        <f>_xlfn.IFNA(IF($A12&lt;&gt;"",VLOOKUP($A12,Protocolos!$A$6:$G$9997,6,FALSE),""),"Não localizado")</f>
        <v/>
      </c>
    </row>
    <row r="13" spans="1:6" x14ac:dyDescent="0.25">
      <c r="A13" s="32"/>
      <c r="B13" s="26" t="str">
        <f>_xlfn.IFNA(IF($A13&lt;&gt;"",VLOOKUP($A13,Protocolos!$A$6:$G$9997,2,FALSE),""),"Não localizado")</f>
        <v/>
      </c>
      <c r="C13" s="31" t="str">
        <f>_xlfn.IFNA(IF($A13&lt;&gt;"",VLOOKUP($A13,Protocolos!$A$6:$G$9997,7,FALSE),""),"Não localizado")</f>
        <v/>
      </c>
      <c r="D13" s="31" t="str">
        <f>_xlfn.IFNA(IF($A13&lt;&gt;"",VLOOKUP($A13,Protocolos!$A$6:$G$9997,6,FALSE),""),"Não localizado")</f>
        <v/>
      </c>
    </row>
    <row r="14" spans="1:6" x14ac:dyDescent="0.25">
      <c r="A14" s="32"/>
      <c r="B14" s="26" t="str">
        <f>_xlfn.IFNA(IF($A14&lt;&gt;"",VLOOKUP($A14,Protocolos!$A$6:$G$9997,2,FALSE),""),"Não localizado")</f>
        <v/>
      </c>
      <c r="C14" s="31" t="str">
        <f>_xlfn.IFNA(IF($A14&lt;&gt;"",VLOOKUP($A14,Protocolos!$A$6:$G$9997,7,FALSE),""),"Não localizado")</f>
        <v/>
      </c>
      <c r="D14" s="31" t="str">
        <f>_xlfn.IFNA(IF($A14&lt;&gt;"",VLOOKUP($A14,Protocolos!$A$6:$G$9997,6,FALSE),""),"Não localizado")</f>
        <v/>
      </c>
    </row>
    <row r="15" spans="1:6" x14ac:dyDescent="0.25">
      <c r="A15" s="32"/>
      <c r="B15" s="26" t="str">
        <f>_xlfn.IFNA(IF($A15&lt;&gt;"",VLOOKUP($A15,Protocolos!$A$6:$G$9997,2,FALSE),""),"Não localizado")</f>
        <v/>
      </c>
      <c r="C15" s="31" t="str">
        <f>_xlfn.IFNA(IF($A15&lt;&gt;"",VLOOKUP($A15,Protocolos!$A$6:$G$9997,7,FALSE),""),"Não localizado")</f>
        <v/>
      </c>
      <c r="D15" s="31" t="str">
        <f>_xlfn.IFNA(IF($A15&lt;&gt;"",VLOOKUP($A15,Protocolos!$A$6:$G$9997,6,FALSE),""),"Não localizado")</f>
        <v/>
      </c>
    </row>
    <row r="16" spans="1:6" x14ac:dyDescent="0.25">
      <c r="A16" s="32"/>
      <c r="B16" s="26" t="str">
        <f>_xlfn.IFNA(IF($A16&lt;&gt;"",VLOOKUP($A16,Protocolos!$A$6:$G$9997,2,FALSE),""),"Não localizado")</f>
        <v/>
      </c>
      <c r="C16" s="31" t="str">
        <f>_xlfn.IFNA(IF($A16&lt;&gt;"",VLOOKUP($A16,Protocolos!$A$6:$G$9997,7,FALSE),""),"Não localizado")</f>
        <v/>
      </c>
      <c r="D16" s="31" t="str">
        <f>_xlfn.IFNA(IF($A16&lt;&gt;"",VLOOKUP($A16,Protocolos!$A$6:$G$9997,6,FALSE),""),"Não localizado")</f>
        <v/>
      </c>
    </row>
    <row r="17" spans="1:4" x14ac:dyDescent="0.25">
      <c r="A17" s="32"/>
      <c r="B17" s="26" t="str">
        <f>_xlfn.IFNA(IF($A17&lt;&gt;"",VLOOKUP($A17,Protocolos!$A$6:$G$9997,2,FALSE),""),"Não localizado")</f>
        <v/>
      </c>
      <c r="C17" s="31" t="str">
        <f>_xlfn.IFNA(IF($A17&lt;&gt;"",VLOOKUP($A17,Protocolos!$A$6:$G$9997,7,FALSE),""),"Não localizado")</f>
        <v/>
      </c>
      <c r="D17" s="31" t="str">
        <f>_xlfn.IFNA(IF($A17&lt;&gt;"",VLOOKUP($A17,Protocolos!$A$6:$G$9997,6,FALSE),""),"Não localizado")</f>
        <v/>
      </c>
    </row>
    <row r="18" spans="1:4" x14ac:dyDescent="0.25">
      <c r="A18" s="32"/>
      <c r="B18" s="26" t="str">
        <f>_xlfn.IFNA(IF($A18&lt;&gt;"",VLOOKUP($A18,Protocolos!$A$6:$G$9997,2,FALSE),""),"Não localizado")</f>
        <v/>
      </c>
      <c r="C18" s="31" t="str">
        <f>_xlfn.IFNA(IF($A18&lt;&gt;"",VLOOKUP($A18,Protocolos!$A$6:$G$9997,7,FALSE),""),"Não localizado")</f>
        <v/>
      </c>
      <c r="D18" s="31" t="str">
        <f>_xlfn.IFNA(IF($A18&lt;&gt;"",VLOOKUP($A18,Protocolos!$A$6:$G$9997,6,FALSE),""),"Não localizado")</f>
        <v/>
      </c>
    </row>
    <row r="19" spans="1:4" x14ac:dyDescent="0.25">
      <c r="A19" s="32"/>
      <c r="B19" s="26" t="str">
        <f>_xlfn.IFNA(IF($A19&lt;&gt;"",VLOOKUP($A19,Protocolos!$A$6:$G$9997,2,FALSE),""),"Não localizado")</f>
        <v/>
      </c>
      <c r="C19" s="31" t="str">
        <f>_xlfn.IFNA(IF($A19&lt;&gt;"",VLOOKUP($A19,Protocolos!$A$6:$G$9997,7,FALSE),""),"Não localizado")</f>
        <v/>
      </c>
      <c r="D19" s="31" t="str">
        <f>_xlfn.IFNA(IF($A19&lt;&gt;"",VLOOKUP($A19,Protocolos!$A$6:$G$9997,6,FALSE),""),"Não localizado")</f>
        <v/>
      </c>
    </row>
    <row r="20" spans="1:4" x14ac:dyDescent="0.25">
      <c r="A20" s="32"/>
      <c r="B20" s="26" t="str">
        <f>_xlfn.IFNA(IF($A20&lt;&gt;"",VLOOKUP($A20,Protocolos!$A$6:$G$9997,2,FALSE),""),"Não localizado")</f>
        <v/>
      </c>
      <c r="C20" s="31" t="str">
        <f>_xlfn.IFNA(IF($A20&lt;&gt;"",VLOOKUP($A20,Protocolos!$A$6:$G$9997,7,FALSE),""),"Não localizado")</f>
        <v/>
      </c>
      <c r="D20" s="31" t="str">
        <f>_xlfn.IFNA(IF($A20&lt;&gt;"",VLOOKUP($A20,Protocolos!$A$6:$G$9997,6,FALSE),""),"Não localizado")</f>
        <v/>
      </c>
    </row>
    <row r="21" spans="1:4" x14ac:dyDescent="0.25">
      <c r="A21" s="32"/>
      <c r="B21" s="26" t="str">
        <f>_xlfn.IFNA(IF($A21&lt;&gt;"",VLOOKUP($A21,Protocolos!$A$6:$G$9997,2,FALSE),""),"Não localizado")</f>
        <v/>
      </c>
      <c r="C21" s="31" t="str">
        <f>_xlfn.IFNA(IF($A21&lt;&gt;"",VLOOKUP($A21,Protocolos!$A$6:$G$9997,7,FALSE),""),"Não localizado")</f>
        <v/>
      </c>
      <c r="D21" s="31" t="str">
        <f>_xlfn.IFNA(IF($A21&lt;&gt;"",VLOOKUP($A21,Protocolos!$A$6:$G$9997,6,FALSE),""),"Não localizado")</f>
        <v/>
      </c>
    </row>
    <row r="22" spans="1:4" x14ac:dyDescent="0.25">
      <c r="A22" s="32"/>
      <c r="B22" s="26" t="str">
        <f>_xlfn.IFNA(IF($A22&lt;&gt;"",VLOOKUP($A22,Protocolos!$A$6:$G$9997,2,FALSE),""),"Não localizado")</f>
        <v/>
      </c>
      <c r="C22" s="31" t="str">
        <f>_xlfn.IFNA(IF($A22&lt;&gt;"",VLOOKUP($A22,Protocolos!$A$6:$G$9997,7,FALSE),""),"Não localizado")</f>
        <v/>
      </c>
      <c r="D22" s="31" t="str">
        <f>_xlfn.IFNA(IF($A22&lt;&gt;"",VLOOKUP($A22,Protocolos!$A$6:$G$9997,6,FALSE),""),"Não localizado")</f>
        <v/>
      </c>
    </row>
    <row r="23" spans="1:4" x14ac:dyDescent="0.25">
      <c r="A23" s="32"/>
      <c r="B23" s="26" t="str">
        <f>_xlfn.IFNA(IF($A23&lt;&gt;"",VLOOKUP($A23,Protocolos!$A$6:$G$9997,2,FALSE),""),"Não localizado")</f>
        <v/>
      </c>
      <c r="C23" s="31" t="str">
        <f>_xlfn.IFNA(IF($A23&lt;&gt;"",VLOOKUP($A23,Protocolos!$A$6:$G$9997,7,FALSE),""),"Não localizado")</f>
        <v/>
      </c>
      <c r="D23" s="31" t="str">
        <f>_xlfn.IFNA(IF($A23&lt;&gt;"",VLOOKUP($A23,Protocolos!$A$6:$G$9997,6,FALSE),""),"Não localizado")</f>
        <v/>
      </c>
    </row>
    <row r="24" spans="1:4" x14ac:dyDescent="0.25">
      <c r="A24" s="32"/>
      <c r="B24" s="26" t="str">
        <f>_xlfn.IFNA(IF($A24&lt;&gt;"",VLOOKUP($A24,Protocolos!$A$6:$G$9997,2,FALSE),""),"Não localizado")</f>
        <v/>
      </c>
      <c r="C24" s="31" t="str">
        <f>_xlfn.IFNA(IF($A24&lt;&gt;"",VLOOKUP($A24,Protocolos!$A$6:$G$9997,7,FALSE),""),"Não localizado")</f>
        <v/>
      </c>
      <c r="D24" s="31" t="str">
        <f>_xlfn.IFNA(IF($A24&lt;&gt;"",VLOOKUP($A24,Protocolos!$A$6:$G$9997,6,FALSE),""),"Não localizado")</f>
        <v/>
      </c>
    </row>
    <row r="25" spans="1:4" x14ac:dyDescent="0.25">
      <c r="A25" s="32"/>
      <c r="B25" s="26" t="str">
        <f>_xlfn.IFNA(IF($A25&lt;&gt;"",VLOOKUP($A25,Protocolos!$A$6:$G$9997,2,FALSE),""),"Não localizado")</f>
        <v/>
      </c>
      <c r="C25" s="31" t="str">
        <f>_xlfn.IFNA(IF($A25&lt;&gt;"",VLOOKUP($A25,Protocolos!$A$6:$G$9997,7,FALSE),""),"Não localizado")</f>
        <v/>
      </c>
      <c r="D25" s="31" t="str">
        <f>_xlfn.IFNA(IF($A25&lt;&gt;"",VLOOKUP($A25,Protocolos!$A$6:$G$9997,6,FALSE),""),"Não localizado")</f>
        <v/>
      </c>
    </row>
    <row r="26" spans="1:4" x14ac:dyDescent="0.25">
      <c r="A26" s="32"/>
      <c r="B26" s="26" t="str">
        <f>_xlfn.IFNA(IF($A26&lt;&gt;"",VLOOKUP($A26,Protocolos!$A$6:$G$9997,2,FALSE),""),"Não localizado")</f>
        <v/>
      </c>
      <c r="C26" s="31" t="str">
        <f>_xlfn.IFNA(IF($A26&lt;&gt;"",VLOOKUP($A26,Protocolos!$A$6:$G$9997,7,FALSE),""),"Não localizado")</f>
        <v/>
      </c>
      <c r="D26" s="31" t="str">
        <f>_xlfn.IFNA(IF($A26&lt;&gt;"",VLOOKUP($A26,Protocolos!$A$6:$G$9997,6,FALSE),""),"Não localizado")</f>
        <v/>
      </c>
    </row>
    <row r="27" spans="1:4" x14ac:dyDescent="0.25">
      <c r="A27" s="32"/>
      <c r="B27" s="26" t="str">
        <f>_xlfn.IFNA(IF($A27&lt;&gt;"",VLOOKUP($A27,Protocolos!$A$6:$G$9997,2,FALSE),""),"Não localizado")</f>
        <v/>
      </c>
      <c r="C27" s="31" t="str">
        <f>_xlfn.IFNA(IF($A27&lt;&gt;"",VLOOKUP($A27,Protocolos!$A$6:$G$9997,7,FALSE),""),"Não localizado")</f>
        <v/>
      </c>
      <c r="D27" s="31" t="str">
        <f>_xlfn.IFNA(IF($A27&lt;&gt;"",VLOOKUP($A27,Protocolos!$A$6:$G$9997,6,FALSE),""),"Não localizado")</f>
        <v/>
      </c>
    </row>
    <row r="28" spans="1:4" x14ac:dyDescent="0.25">
      <c r="A28" s="32"/>
      <c r="B28" s="26" t="str">
        <f>_xlfn.IFNA(IF($A28&lt;&gt;"",VLOOKUP($A28,Protocolos!$A$6:$G$9997,2,FALSE),""),"Não localizado")</f>
        <v/>
      </c>
      <c r="C28" s="31" t="str">
        <f>_xlfn.IFNA(IF($A28&lt;&gt;"",VLOOKUP($A28,Protocolos!$A$6:$G$9997,7,FALSE),""),"Não localizado")</f>
        <v/>
      </c>
      <c r="D28" s="31" t="str">
        <f>_xlfn.IFNA(IF($A28&lt;&gt;"",VLOOKUP($A28,Protocolos!$A$6:$G$9997,6,FALSE),""),"Não localizado")</f>
        <v/>
      </c>
    </row>
    <row r="29" spans="1:4" x14ac:dyDescent="0.25">
      <c r="A29" s="32"/>
      <c r="B29" s="26" t="str">
        <f>_xlfn.IFNA(IF($A29&lt;&gt;"",VLOOKUP($A29,Protocolos!$A$6:$G$9997,2,FALSE),""),"Não localizado")</f>
        <v/>
      </c>
      <c r="C29" s="31" t="str">
        <f>_xlfn.IFNA(IF($A29&lt;&gt;"",VLOOKUP($A29,Protocolos!$A$6:$G$9997,7,FALSE),""),"Não localizado")</f>
        <v/>
      </c>
      <c r="D29" s="31" t="str">
        <f>_xlfn.IFNA(IF($A29&lt;&gt;"",VLOOKUP($A29,Protocolos!$A$6:$G$9997,6,FALSE),""),"Não localizado")</f>
        <v/>
      </c>
    </row>
    <row r="30" spans="1:4" x14ac:dyDescent="0.25">
      <c r="A30" s="32"/>
      <c r="B30" s="26" t="str">
        <f>_xlfn.IFNA(IF($A30&lt;&gt;"",VLOOKUP($A30,Protocolos!$A$6:$G$9997,2,FALSE),""),"Não localizado")</f>
        <v/>
      </c>
      <c r="C30" s="31" t="str">
        <f>_xlfn.IFNA(IF($A30&lt;&gt;"",VLOOKUP($A30,Protocolos!$A$6:$G$9997,7,FALSE),""),"Não localizado")</f>
        <v/>
      </c>
      <c r="D30" s="31" t="str">
        <f>_xlfn.IFNA(IF($A30&lt;&gt;"",VLOOKUP($A30,Protocolos!$A$6:$G$9997,6,FALSE),""),"Não localizado")</f>
        <v/>
      </c>
    </row>
    <row r="31" spans="1:4" x14ac:dyDescent="0.25">
      <c r="A31" s="32"/>
      <c r="B31" s="26" t="str">
        <f>_xlfn.IFNA(IF($A31&lt;&gt;"",VLOOKUP($A31,Protocolos!$A$6:$G$9997,2,FALSE),""),"Não localizado")</f>
        <v/>
      </c>
      <c r="C31" s="31" t="str">
        <f>_xlfn.IFNA(IF($A31&lt;&gt;"",VLOOKUP($A31,Protocolos!$A$6:$G$9997,7,FALSE),""),"Não localizado")</f>
        <v/>
      </c>
      <c r="D31" s="31" t="str">
        <f>_xlfn.IFNA(IF($A31&lt;&gt;"",VLOOKUP($A31,Protocolos!$A$6:$G$9997,6,FALSE),""),"Não localizado")</f>
        <v/>
      </c>
    </row>
    <row r="32" spans="1:4" x14ac:dyDescent="0.25">
      <c r="A32" s="32"/>
      <c r="B32" s="26" t="str">
        <f>_xlfn.IFNA(IF($A32&lt;&gt;"",VLOOKUP($A32,Protocolos!$A$6:$G$9997,2,FALSE),""),"Não localizado")</f>
        <v/>
      </c>
      <c r="C32" s="31" t="str">
        <f>_xlfn.IFNA(IF($A32&lt;&gt;"",VLOOKUP($A32,Protocolos!$A$6:$G$9997,7,FALSE),""),"Não localizado")</f>
        <v/>
      </c>
      <c r="D32" s="31" t="str">
        <f>_xlfn.IFNA(IF($A32&lt;&gt;"",VLOOKUP($A32,Protocolos!$A$6:$G$9997,6,FALSE),""),"Não localizado")</f>
        <v/>
      </c>
    </row>
    <row r="33" spans="1:4" x14ac:dyDescent="0.25">
      <c r="A33" s="32"/>
      <c r="B33" s="26" t="str">
        <f>_xlfn.IFNA(IF($A33&lt;&gt;"",VLOOKUP($A33,Protocolos!$A$6:$G$9997,2,FALSE),""),"Não localizado")</f>
        <v/>
      </c>
      <c r="C33" s="31" t="str">
        <f>_xlfn.IFNA(IF($A33&lt;&gt;"",VLOOKUP($A33,Protocolos!$A$6:$G$9997,7,FALSE),""),"Não localizado")</f>
        <v/>
      </c>
      <c r="D33" s="31" t="str">
        <f>_xlfn.IFNA(IF($A33&lt;&gt;"",VLOOKUP($A33,Protocolos!$A$6:$G$9997,6,FALSE),""),"Não localizado")</f>
        <v/>
      </c>
    </row>
    <row r="34" spans="1:4" x14ac:dyDescent="0.25">
      <c r="A34" s="32"/>
      <c r="B34" s="26" t="str">
        <f>_xlfn.IFNA(IF($A34&lt;&gt;"",VLOOKUP($A34,Protocolos!$A$6:$G$9997,2,FALSE),""),"Não localizado")</f>
        <v/>
      </c>
      <c r="C34" s="31" t="str">
        <f>_xlfn.IFNA(IF($A34&lt;&gt;"",VLOOKUP($A34,Protocolos!$A$6:$G$9997,7,FALSE),""),"Não localizado")</f>
        <v/>
      </c>
      <c r="D34" s="31" t="str">
        <f>_xlfn.IFNA(IF($A34&lt;&gt;"",VLOOKUP($A34,Protocolos!$A$6:$G$9997,6,FALSE),""),"Não localizado")</f>
        <v/>
      </c>
    </row>
    <row r="35" spans="1:4" x14ac:dyDescent="0.25">
      <c r="A35" s="32"/>
      <c r="B35" s="26" t="str">
        <f>_xlfn.IFNA(IF($A35&lt;&gt;"",VLOOKUP($A35,Protocolos!$A$6:$G$9997,2,FALSE),""),"Não localizado")</f>
        <v/>
      </c>
      <c r="C35" s="31" t="str">
        <f>_xlfn.IFNA(IF($A35&lt;&gt;"",VLOOKUP($A35,Protocolos!$A$6:$G$9997,7,FALSE),""),"Não localizado")</f>
        <v/>
      </c>
      <c r="D35" s="31" t="str">
        <f>_xlfn.IFNA(IF($A35&lt;&gt;"",VLOOKUP($A35,Protocolos!$A$6:$G$9997,6,FALSE),""),"Não localizado")</f>
        <v/>
      </c>
    </row>
    <row r="36" spans="1:4" x14ac:dyDescent="0.25">
      <c r="A36" s="32"/>
      <c r="B36" s="26" t="str">
        <f>_xlfn.IFNA(IF($A36&lt;&gt;"",VLOOKUP($A36,Protocolos!$A$6:$G$9997,2,FALSE),""),"Não localizado")</f>
        <v/>
      </c>
      <c r="C36" s="31" t="str">
        <f>_xlfn.IFNA(IF($A36&lt;&gt;"",VLOOKUP($A36,Protocolos!$A$6:$G$9997,7,FALSE),""),"Não localizado")</f>
        <v/>
      </c>
      <c r="D36" s="31" t="str">
        <f>_xlfn.IFNA(IF($A36&lt;&gt;"",VLOOKUP($A36,Protocolos!$A$6:$G$9997,6,FALSE),""),"Não localizado")</f>
        <v/>
      </c>
    </row>
    <row r="37" spans="1:4" x14ac:dyDescent="0.25">
      <c r="A37" s="32"/>
      <c r="B37" s="26" t="str">
        <f>_xlfn.IFNA(IF($A37&lt;&gt;"",VLOOKUP($A37,Protocolos!$A$6:$G$9997,2,FALSE),""),"Não localizado")</f>
        <v/>
      </c>
      <c r="C37" s="31" t="str">
        <f>_xlfn.IFNA(IF($A37&lt;&gt;"",VLOOKUP($A37,Protocolos!$A$6:$G$9997,7,FALSE),""),"Não localizado")</f>
        <v/>
      </c>
      <c r="D37" s="31" t="str">
        <f>_xlfn.IFNA(IF($A37&lt;&gt;"",VLOOKUP($A37,Protocolos!$A$6:$G$9997,6,FALSE),""),"Não localizado")</f>
        <v/>
      </c>
    </row>
    <row r="38" spans="1:4" x14ac:dyDescent="0.25">
      <c r="A38" s="32"/>
      <c r="B38" s="26" t="str">
        <f>_xlfn.IFNA(IF($A38&lt;&gt;"",VLOOKUP($A38,Protocolos!$A$6:$G$9997,2,FALSE),""),"Não localizado")</f>
        <v/>
      </c>
      <c r="C38" s="31" t="str">
        <f>_xlfn.IFNA(IF($A38&lt;&gt;"",VLOOKUP($A38,Protocolos!$A$6:$G$9997,7,FALSE),""),"Não localizado")</f>
        <v/>
      </c>
      <c r="D38" s="31" t="str">
        <f>_xlfn.IFNA(IF($A38&lt;&gt;"",VLOOKUP($A38,Protocolos!$A$6:$G$9997,6,FALSE),""),"Não localizado")</f>
        <v/>
      </c>
    </row>
    <row r="39" spans="1:4" x14ac:dyDescent="0.25">
      <c r="A39" s="32"/>
      <c r="B39" s="26" t="str">
        <f>_xlfn.IFNA(IF($A39&lt;&gt;"",VLOOKUP($A39,Protocolos!$A$6:$G$9997,2,FALSE),""),"Não localizado")</f>
        <v/>
      </c>
      <c r="C39" s="31" t="str">
        <f>_xlfn.IFNA(IF($A39&lt;&gt;"",VLOOKUP($A39,Protocolos!$A$6:$G$9997,7,FALSE),""),"Não localizado")</f>
        <v/>
      </c>
      <c r="D39" s="31" t="str">
        <f>_xlfn.IFNA(IF($A39&lt;&gt;"",VLOOKUP($A39,Protocolos!$A$6:$G$9997,6,FALSE),""),"Não localizado")</f>
        <v/>
      </c>
    </row>
    <row r="40" spans="1:4" x14ac:dyDescent="0.25">
      <c r="A40" s="32"/>
      <c r="B40" s="26" t="str">
        <f>_xlfn.IFNA(IF($A40&lt;&gt;"",VLOOKUP($A40,Protocolos!$A$6:$G$9997,2,FALSE),""),"Não localizado")</f>
        <v/>
      </c>
      <c r="C40" s="31" t="str">
        <f>_xlfn.IFNA(IF($A40&lt;&gt;"",VLOOKUP($A40,Protocolos!$A$6:$G$9997,7,FALSE),""),"Não localizado")</f>
        <v/>
      </c>
      <c r="D40" s="31" t="str">
        <f>_xlfn.IFNA(IF($A40&lt;&gt;"",VLOOKUP($A40,Protocolos!$A$6:$G$9997,6,FALSE),""),"Não localizado")</f>
        <v/>
      </c>
    </row>
    <row r="41" spans="1:4" x14ac:dyDescent="0.25">
      <c r="A41" s="32"/>
      <c r="B41" s="26" t="str">
        <f>_xlfn.IFNA(IF($A41&lt;&gt;"",VLOOKUP($A41,Protocolos!$A$6:$G$9997,2,FALSE),""),"Não localizado")</f>
        <v/>
      </c>
      <c r="C41" s="31" t="str">
        <f>_xlfn.IFNA(IF($A41&lt;&gt;"",VLOOKUP($A41,Protocolos!$A$6:$G$9997,7,FALSE),""),"Não localizado")</f>
        <v/>
      </c>
      <c r="D41" s="31" t="str">
        <f>_xlfn.IFNA(IF($A41&lt;&gt;"",VLOOKUP($A41,Protocolos!$A$6:$G$9997,6,FALSE),""),"Não localizado")</f>
        <v/>
      </c>
    </row>
    <row r="42" spans="1:4" x14ac:dyDescent="0.25">
      <c r="A42" s="32"/>
      <c r="B42" s="26" t="str">
        <f>_xlfn.IFNA(IF($A42&lt;&gt;"",VLOOKUP($A42,Protocolos!$A$6:$G$9997,2,FALSE),""),"Não localizado")</f>
        <v/>
      </c>
      <c r="C42" s="31" t="str">
        <f>_xlfn.IFNA(IF($A42&lt;&gt;"",VLOOKUP($A42,Protocolos!$A$6:$G$9997,7,FALSE),""),"Não localizado")</f>
        <v/>
      </c>
      <c r="D42" s="31" t="str">
        <f>_xlfn.IFNA(IF($A42&lt;&gt;"",VLOOKUP($A42,Protocolos!$A$6:$G$9997,6,FALSE),""),"Não localizado")</f>
        <v/>
      </c>
    </row>
    <row r="43" spans="1:4" x14ac:dyDescent="0.25">
      <c r="A43" s="32"/>
      <c r="B43" s="26" t="str">
        <f>_xlfn.IFNA(IF($A43&lt;&gt;"",VLOOKUP($A43,Protocolos!$A$6:$G$9997,2,FALSE),""),"Não localizado")</f>
        <v/>
      </c>
      <c r="C43" s="31" t="str">
        <f>_xlfn.IFNA(IF($A43&lt;&gt;"",VLOOKUP($A43,Protocolos!$A$6:$G$9997,7,FALSE),""),"Não localizado")</f>
        <v/>
      </c>
      <c r="D43" s="31" t="str">
        <f>_xlfn.IFNA(IF($A43&lt;&gt;"",VLOOKUP($A43,Protocolos!$A$6:$G$9997,6,FALSE),""),"Não localizado")</f>
        <v/>
      </c>
    </row>
    <row r="44" spans="1:4" x14ac:dyDescent="0.25">
      <c r="A44" s="32"/>
      <c r="B44" s="26" t="str">
        <f>_xlfn.IFNA(IF($A44&lt;&gt;"",VLOOKUP($A44,Protocolos!$A$6:$G$9997,2,FALSE),""),"Não localizado")</f>
        <v/>
      </c>
      <c r="C44" s="31" t="str">
        <f>_xlfn.IFNA(IF($A44&lt;&gt;"",VLOOKUP($A44,Protocolos!$A$6:$G$9997,7,FALSE),""),"Não localizado")</f>
        <v/>
      </c>
      <c r="D44" s="31" t="str">
        <f>_xlfn.IFNA(IF($A44&lt;&gt;"",VLOOKUP($A44,Protocolos!$A$6:$G$9997,6,FALSE),""),"Não localizado")</f>
        <v/>
      </c>
    </row>
    <row r="45" spans="1:4" x14ac:dyDescent="0.25">
      <c r="A45" s="32"/>
      <c r="B45" s="26" t="str">
        <f>_xlfn.IFNA(IF($A45&lt;&gt;"",VLOOKUP($A45,Protocolos!$A$6:$G$9997,2,FALSE),""),"Não localizado")</f>
        <v/>
      </c>
      <c r="C45" s="31" t="str">
        <f>_xlfn.IFNA(IF($A45&lt;&gt;"",VLOOKUP($A45,Protocolos!$A$6:$G$9997,7,FALSE),""),"Não localizado")</f>
        <v/>
      </c>
      <c r="D45" s="31" t="str">
        <f>_xlfn.IFNA(IF($A45&lt;&gt;"",VLOOKUP($A45,Protocolos!$A$6:$G$9997,6,FALSE),""),"Não localizado")</f>
        <v/>
      </c>
    </row>
    <row r="46" spans="1:4" x14ac:dyDescent="0.25">
      <c r="A46" s="32"/>
      <c r="B46" s="26" t="str">
        <f>_xlfn.IFNA(IF($A46&lt;&gt;"",VLOOKUP($A46,Protocolos!$A$6:$G$9997,2,FALSE),""),"Não localizado")</f>
        <v/>
      </c>
      <c r="C46" s="31" t="str">
        <f>_xlfn.IFNA(IF($A46&lt;&gt;"",VLOOKUP($A46,Protocolos!$A$6:$G$9997,7,FALSE),""),"Não localizado")</f>
        <v/>
      </c>
      <c r="D46" s="31" t="str">
        <f>_xlfn.IFNA(IF($A46&lt;&gt;"",VLOOKUP($A46,Protocolos!$A$6:$G$9997,6,FALSE),""),"Não localizado")</f>
        <v/>
      </c>
    </row>
    <row r="47" spans="1:4" x14ac:dyDescent="0.25">
      <c r="A47" s="32"/>
      <c r="B47" s="26" t="str">
        <f>_xlfn.IFNA(IF($A47&lt;&gt;"",VLOOKUP($A47,Protocolos!$A$6:$G$9997,2,FALSE),""),"Não localizado")</f>
        <v/>
      </c>
      <c r="C47" s="31" t="str">
        <f>_xlfn.IFNA(IF($A47&lt;&gt;"",VLOOKUP($A47,Protocolos!$A$6:$G$9997,7,FALSE),""),"Não localizado")</f>
        <v/>
      </c>
      <c r="D47" s="31" t="str">
        <f>_xlfn.IFNA(IF($A47&lt;&gt;"",VLOOKUP($A47,Protocolos!$A$6:$G$9997,6,FALSE),""),"Não localizado")</f>
        <v/>
      </c>
    </row>
    <row r="48" spans="1:4" x14ac:dyDescent="0.25">
      <c r="A48" s="32"/>
      <c r="B48" s="26" t="str">
        <f>_xlfn.IFNA(IF($A48&lt;&gt;"",VLOOKUP($A48,Protocolos!$A$6:$G$9997,2,FALSE),""),"Não localizado")</f>
        <v/>
      </c>
      <c r="C48" s="31" t="str">
        <f>_xlfn.IFNA(IF($A48&lt;&gt;"",VLOOKUP($A48,Protocolos!$A$6:$G$9997,7,FALSE),""),"Não localizado")</f>
        <v/>
      </c>
      <c r="D48" s="31" t="str">
        <f>_xlfn.IFNA(IF($A48&lt;&gt;"",VLOOKUP($A48,Protocolos!$A$6:$G$9997,6,FALSE),""),"Não localizado")</f>
        <v/>
      </c>
    </row>
    <row r="49" spans="1:4" x14ac:dyDescent="0.25">
      <c r="A49" s="32"/>
      <c r="B49" s="26" t="str">
        <f>_xlfn.IFNA(IF($A49&lt;&gt;"",VLOOKUP($A49,Protocolos!$A$6:$G$9997,2,FALSE),""),"Não localizado")</f>
        <v/>
      </c>
      <c r="C49" s="31" t="str">
        <f>_xlfn.IFNA(IF($A49&lt;&gt;"",VLOOKUP($A49,Protocolos!$A$6:$G$9997,7,FALSE),""),"Não localizado")</f>
        <v/>
      </c>
      <c r="D49" s="31" t="str">
        <f>_xlfn.IFNA(IF($A49&lt;&gt;"",VLOOKUP($A49,Protocolos!$A$6:$G$9997,6,FALSE),""),"Não localizado")</f>
        <v/>
      </c>
    </row>
    <row r="50" spans="1:4" x14ac:dyDescent="0.25">
      <c r="A50" s="32"/>
      <c r="B50" s="26" t="str">
        <f>_xlfn.IFNA(IF($A50&lt;&gt;"",VLOOKUP($A50,Protocolos!$A$6:$G$9997,2,FALSE),""),"Não localizado")</f>
        <v/>
      </c>
      <c r="C50" s="31" t="str">
        <f>_xlfn.IFNA(IF($A50&lt;&gt;"",VLOOKUP($A50,Protocolos!$A$6:$G$9997,7,FALSE),""),"Não localizado")</f>
        <v/>
      </c>
      <c r="D50" s="31" t="str">
        <f>_xlfn.IFNA(IF($A50&lt;&gt;"",VLOOKUP($A50,Protocolos!$A$6:$G$9997,6,FALSE),""),"Não localizado")</f>
        <v/>
      </c>
    </row>
    <row r="51" spans="1:4" x14ac:dyDescent="0.25">
      <c r="A51" s="32"/>
      <c r="B51" s="26" t="str">
        <f>_xlfn.IFNA(IF($A51&lt;&gt;"",VLOOKUP($A51,Protocolos!$A$6:$G$9997,2,FALSE),""),"Não localizado")</f>
        <v/>
      </c>
      <c r="C51" s="31" t="str">
        <f>_xlfn.IFNA(IF($A51&lt;&gt;"",VLOOKUP($A51,Protocolos!$A$6:$G$9997,7,FALSE),""),"Não localizado")</f>
        <v/>
      </c>
      <c r="D51" s="31" t="str">
        <f>_xlfn.IFNA(IF($A51&lt;&gt;"",VLOOKUP($A51,Protocolos!$A$6:$G$9997,6,FALSE),""),"Não localizado")</f>
        <v/>
      </c>
    </row>
    <row r="52" spans="1:4" x14ac:dyDescent="0.25">
      <c r="A52" s="32"/>
      <c r="B52" s="26" t="str">
        <f>_xlfn.IFNA(IF($A52&lt;&gt;"",VLOOKUP($A52,Protocolos!$A$6:$G$9997,2,FALSE),""),"Não localizado")</f>
        <v/>
      </c>
      <c r="C52" s="31" t="str">
        <f>_xlfn.IFNA(IF($A52&lt;&gt;"",VLOOKUP($A52,Protocolos!$A$6:$G$9997,7,FALSE),""),"Não localizado")</f>
        <v/>
      </c>
      <c r="D52" s="31" t="str">
        <f>_xlfn.IFNA(IF($A52&lt;&gt;"",VLOOKUP($A52,Protocolos!$A$6:$G$9997,6,FALSE),""),"Não localizado")</f>
        <v/>
      </c>
    </row>
    <row r="53" spans="1:4" x14ac:dyDescent="0.25">
      <c r="A53" s="32"/>
      <c r="B53" s="26" t="str">
        <f>_xlfn.IFNA(IF($A53&lt;&gt;"",VLOOKUP($A53,Protocolos!$A$6:$G$9997,2,FALSE),""),"Não localizado")</f>
        <v/>
      </c>
      <c r="C53" s="31" t="str">
        <f>_xlfn.IFNA(IF($A53&lt;&gt;"",VLOOKUP($A53,Protocolos!$A$6:$G$9997,7,FALSE),""),"Não localizado")</f>
        <v/>
      </c>
      <c r="D53" s="31" t="str">
        <f>_xlfn.IFNA(IF($A53&lt;&gt;"",VLOOKUP($A53,Protocolos!$A$6:$G$9997,6,FALSE),""),"Não localizado")</f>
        <v/>
      </c>
    </row>
    <row r="54" spans="1:4" x14ac:dyDescent="0.25">
      <c r="A54" s="32"/>
      <c r="B54" s="26" t="str">
        <f>_xlfn.IFNA(IF($A54&lt;&gt;"",VLOOKUP($A54,Protocolos!$A$6:$G$9997,2,FALSE),""),"Não localizado")</f>
        <v/>
      </c>
      <c r="C54" s="31" t="str">
        <f>_xlfn.IFNA(IF($A54&lt;&gt;"",VLOOKUP($A54,Protocolos!$A$6:$G$9997,7,FALSE),""),"Não localizado")</f>
        <v/>
      </c>
      <c r="D54" s="31" t="str">
        <f>_xlfn.IFNA(IF($A54&lt;&gt;"",VLOOKUP($A54,Protocolos!$A$6:$G$9997,6,FALSE),""),"Não localizado")</f>
        <v/>
      </c>
    </row>
    <row r="55" spans="1:4" x14ac:dyDescent="0.25">
      <c r="A55" s="32"/>
      <c r="B55" s="26" t="str">
        <f>_xlfn.IFNA(IF($A55&lt;&gt;"",VLOOKUP($A55,Protocolos!$A$6:$G$9997,2,FALSE),""),"Não localizado")</f>
        <v/>
      </c>
      <c r="C55" s="31" t="str">
        <f>_xlfn.IFNA(IF($A55&lt;&gt;"",VLOOKUP($A55,Protocolos!$A$6:$G$9997,7,FALSE),""),"Não localizado")</f>
        <v/>
      </c>
      <c r="D55" s="31" t="str">
        <f>_xlfn.IFNA(IF($A55&lt;&gt;"",VLOOKUP($A55,Protocolos!$A$6:$G$9997,6,FALSE),""),"Não localizado")</f>
        <v/>
      </c>
    </row>
    <row r="56" spans="1:4" x14ac:dyDescent="0.25">
      <c r="A56" s="32"/>
      <c r="B56" s="26" t="str">
        <f>_xlfn.IFNA(IF($A56&lt;&gt;"",VLOOKUP($A56,Protocolos!$A$6:$G$9997,2,FALSE),""),"Não localizado")</f>
        <v/>
      </c>
      <c r="C56" s="31" t="str">
        <f>_xlfn.IFNA(IF($A56&lt;&gt;"",VLOOKUP($A56,Protocolos!$A$6:$G$9997,7,FALSE),""),"Não localizado")</f>
        <v/>
      </c>
      <c r="D56" s="31" t="str">
        <f>_xlfn.IFNA(IF($A56&lt;&gt;"",VLOOKUP($A56,Protocolos!$A$6:$G$9997,6,FALSE),""),"Não localizado")</f>
        <v/>
      </c>
    </row>
    <row r="57" spans="1:4" x14ac:dyDescent="0.25">
      <c r="A57" s="32"/>
      <c r="B57" s="26" t="str">
        <f>_xlfn.IFNA(IF($A57&lt;&gt;"",VLOOKUP($A57,Protocolos!$A$6:$G$9997,2,FALSE),""),"Não localizado")</f>
        <v/>
      </c>
      <c r="C57" s="31" t="str">
        <f>_xlfn.IFNA(IF($A57&lt;&gt;"",VLOOKUP($A57,Protocolos!$A$6:$G$9997,7,FALSE),""),"Não localizado")</f>
        <v/>
      </c>
      <c r="D57" s="31" t="str">
        <f>_xlfn.IFNA(IF($A57&lt;&gt;"",VLOOKUP($A57,Protocolos!$A$6:$G$9997,6,FALSE),""),"Não localizado")</f>
        <v/>
      </c>
    </row>
    <row r="58" spans="1:4" x14ac:dyDescent="0.25">
      <c r="A58" s="32"/>
      <c r="B58" s="26" t="str">
        <f>_xlfn.IFNA(IF($A58&lt;&gt;"",VLOOKUP($A58,Protocolos!$A$6:$G$9997,2,FALSE),""),"Não localizado")</f>
        <v/>
      </c>
      <c r="C58" s="31" t="str">
        <f>_xlfn.IFNA(IF($A58&lt;&gt;"",VLOOKUP($A58,Protocolos!$A$6:$G$9997,7,FALSE),""),"Não localizado")</f>
        <v/>
      </c>
      <c r="D58" s="31" t="str">
        <f>_xlfn.IFNA(IF($A58&lt;&gt;"",VLOOKUP($A58,Protocolos!$A$6:$G$9997,6,FALSE),""),"Não localizado")</f>
        <v/>
      </c>
    </row>
    <row r="59" spans="1:4" x14ac:dyDescent="0.25">
      <c r="A59" s="32"/>
      <c r="B59" s="26" t="str">
        <f>_xlfn.IFNA(IF($A59&lt;&gt;"",VLOOKUP($A59,Protocolos!$A$6:$G$9997,2,FALSE),""),"Não localizado")</f>
        <v/>
      </c>
      <c r="C59" s="31" t="str">
        <f>_xlfn.IFNA(IF($A59&lt;&gt;"",VLOOKUP($A59,Protocolos!$A$6:$G$9997,7,FALSE),""),"Não localizado")</f>
        <v/>
      </c>
      <c r="D59" s="31" t="str">
        <f>_xlfn.IFNA(IF($A59&lt;&gt;"",VLOOKUP($A59,Protocolos!$A$6:$G$9997,6,FALSE),""),"Não localizado")</f>
        <v/>
      </c>
    </row>
    <row r="60" spans="1:4" x14ac:dyDescent="0.25">
      <c r="A60" s="32"/>
      <c r="B60" s="26" t="str">
        <f>_xlfn.IFNA(IF($A60&lt;&gt;"",VLOOKUP($A60,Protocolos!$A$6:$G$9997,2,FALSE),""),"Não localizado")</f>
        <v/>
      </c>
      <c r="C60" s="31" t="str">
        <f>_xlfn.IFNA(IF($A60&lt;&gt;"",VLOOKUP($A60,Protocolos!$A$6:$G$9997,7,FALSE),""),"Não localizado")</f>
        <v/>
      </c>
      <c r="D60" s="31" t="str">
        <f>_xlfn.IFNA(IF($A60&lt;&gt;"",VLOOKUP($A60,Protocolos!$A$6:$G$9997,6,FALSE),""),"Não localizado")</f>
        <v/>
      </c>
    </row>
    <row r="61" spans="1:4" x14ac:dyDescent="0.25">
      <c r="A61" s="32"/>
      <c r="B61" s="26" t="str">
        <f>_xlfn.IFNA(IF($A61&lt;&gt;"",VLOOKUP($A61,Protocolos!$A$6:$G$9997,2,FALSE),""),"Não localizado")</f>
        <v/>
      </c>
      <c r="C61" s="31" t="str">
        <f>_xlfn.IFNA(IF($A61&lt;&gt;"",VLOOKUP($A61,Protocolos!$A$6:$G$9997,7,FALSE),""),"Não localizado")</f>
        <v/>
      </c>
      <c r="D61" s="31" t="str">
        <f>_xlfn.IFNA(IF($A61&lt;&gt;"",VLOOKUP($A61,Protocolos!$A$6:$G$9997,6,FALSE),""),"Não localizado")</f>
        <v/>
      </c>
    </row>
    <row r="62" spans="1:4" x14ac:dyDescent="0.25">
      <c r="A62" s="32"/>
      <c r="B62" s="26" t="str">
        <f>_xlfn.IFNA(IF($A62&lt;&gt;"",VLOOKUP($A62,Protocolos!$A$6:$G$9997,2,FALSE),""),"Não localizado")</f>
        <v/>
      </c>
      <c r="C62" s="31" t="str">
        <f>_xlfn.IFNA(IF($A62&lt;&gt;"",VLOOKUP($A62,Protocolos!$A$6:$G$9997,7,FALSE),""),"Não localizado")</f>
        <v/>
      </c>
      <c r="D62" s="31" t="str">
        <f>_xlfn.IFNA(IF($A62&lt;&gt;"",VLOOKUP($A62,Protocolos!$A$6:$G$9997,6,FALSE),""),"Não localizado")</f>
        <v/>
      </c>
    </row>
    <row r="63" spans="1:4" x14ac:dyDescent="0.25">
      <c r="A63" s="32"/>
      <c r="B63" s="26" t="str">
        <f>_xlfn.IFNA(IF($A63&lt;&gt;"",VLOOKUP($A63,Protocolos!$A$6:$G$9997,2,FALSE),""),"Não localizado")</f>
        <v/>
      </c>
      <c r="C63" s="31" t="str">
        <f>_xlfn.IFNA(IF($A63&lt;&gt;"",VLOOKUP($A63,Protocolos!$A$6:$G$9997,7,FALSE),""),"Não localizado")</f>
        <v/>
      </c>
      <c r="D63" s="31" t="str">
        <f>_xlfn.IFNA(IF($A63&lt;&gt;"",VLOOKUP($A63,Protocolos!$A$6:$G$9997,6,FALSE),""),"Não localizado")</f>
        <v/>
      </c>
    </row>
    <row r="64" spans="1:4" x14ac:dyDescent="0.25">
      <c r="A64" s="32"/>
      <c r="B64" s="26" t="str">
        <f>_xlfn.IFNA(IF($A64&lt;&gt;"",VLOOKUP($A64,Protocolos!$A$6:$G$9997,2,FALSE),""),"Não localizado")</f>
        <v/>
      </c>
      <c r="C64" s="31" t="str">
        <f>_xlfn.IFNA(IF($A64&lt;&gt;"",VLOOKUP($A64,Protocolos!$A$6:$G$9997,7,FALSE),""),"Não localizado")</f>
        <v/>
      </c>
      <c r="D64" s="31" t="str">
        <f>_xlfn.IFNA(IF($A64&lt;&gt;"",VLOOKUP($A64,Protocolos!$A$6:$G$9997,6,FALSE),""),"Não localizado")</f>
        <v/>
      </c>
    </row>
    <row r="65" spans="1:4" x14ac:dyDescent="0.25">
      <c r="A65" s="32"/>
      <c r="B65" s="26" t="str">
        <f>_xlfn.IFNA(IF($A65&lt;&gt;"",VLOOKUP($A65,Protocolos!$A$6:$G$9997,2,FALSE),""),"Não localizado")</f>
        <v/>
      </c>
      <c r="C65" s="31" t="str">
        <f>_xlfn.IFNA(IF($A65&lt;&gt;"",VLOOKUP($A65,Protocolos!$A$6:$G$9997,7,FALSE),""),"Não localizado")</f>
        <v/>
      </c>
      <c r="D65" s="31" t="str">
        <f>_xlfn.IFNA(IF($A65&lt;&gt;"",VLOOKUP($A65,Protocolos!$A$6:$G$9997,6,FALSE),""),"Não localizado")</f>
        <v/>
      </c>
    </row>
    <row r="66" spans="1:4" x14ac:dyDescent="0.25">
      <c r="A66" s="32"/>
      <c r="B66" s="26" t="str">
        <f>_xlfn.IFNA(IF($A66&lt;&gt;"",VLOOKUP($A66,Protocolos!$A$6:$G$9997,2,FALSE),""),"Não localizado")</f>
        <v/>
      </c>
      <c r="C66" s="31" t="str">
        <f>_xlfn.IFNA(IF($A66&lt;&gt;"",VLOOKUP($A66,Protocolos!$A$6:$G$9997,7,FALSE),""),"Não localizado")</f>
        <v/>
      </c>
      <c r="D66" s="31" t="str">
        <f>_xlfn.IFNA(IF($A66&lt;&gt;"",VLOOKUP($A66,Protocolos!$A$6:$G$9997,6,FALSE),""),"Não localizado")</f>
        <v/>
      </c>
    </row>
    <row r="67" spans="1:4" x14ac:dyDescent="0.25">
      <c r="A67" s="32"/>
      <c r="B67" s="26" t="str">
        <f>_xlfn.IFNA(IF($A67&lt;&gt;"",VLOOKUP($A67,Protocolos!$A$6:$G$9997,2,FALSE),""),"Não localizado")</f>
        <v/>
      </c>
      <c r="C67" s="31" t="str">
        <f>_xlfn.IFNA(IF($A67&lt;&gt;"",VLOOKUP($A67,Protocolos!$A$6:$G$9997,7,FALSE),""),"Não localizado")</f>
        <v/>
      </c>
      <c r="D67" s="31" t="str">
        <f>_xlfn.IFNA(IF($A67&lt;&gt;"",VLOOKUP($A67,Protocolos!$A$6:$G$9997,6,FALSE),""),"Não localizado")</f>
        <v/>
      </c>
    </row>
    <row r="68" spans="1:4" x14ac:dyDescent="0.25">
      <c r="A68" s="32"/>
      <c r="B68" s="26" t="str">
        <f>_xlfn.IFNA(IF($A68&lt;&gt;"",VLOOKUP($A68,Protocolos!$A$6:$G$9997,2,FALSE),""),"Não localizado")</f>
        <v/>
      </c>
      <c r="C68" s="31" t="str">
        <f>_xlfn.IFNA(IF($A68&lt;&gt;"",VLOOKUP($A68,Protocolos!$A$6:$G$9997,7,FALSE),""),"Não localizado")</f>
        <v/>
      </c>
      <c r="D68" s="31" t="str">
        <f>_xlfn.IFNA(IF($A68&lt;&gt;"",VLOOKUP($A68,Protocolos!$A$6:$G$9997,6,FALSE),""),"Não localizado")</f>
        <v/>
      </c>
    </row>
    <row r="69" spans="1:4" x14ac:dyDescent="0.25">
      <c r="A69" s="32"/>
      <c r="B69" s="26" t="str">
        <f>_xlfn.IFNA(IF($A69&lt;&gt;"",VLOOKUP($A69,Protocolos!$A$6:$G$9997,2,FALSE),""),"Não localizado")</f>
        <v/>
      </c>
      <c r="C69" s="31" t="str">
        <f>_xlfn.IFNA(IF($A69&lt;&gt;"",VLOOKUP($A69,Protocolos!$A$6:$G$9997,7,FALSE),""),"Não localizado")</f>
        <v/>
      </c>
      <c r="D69" s="31" t="str">
        <f>_xlfn.IFNA(IF($A69&lt;&gt;"",VLOOKUP($A69,Protocolos!$A$6:$G$9997,6,FALSE),""),"Não localizado")</f>
        <v/>
      </c>
    </row>
    <row r="70" spans="1:4" x14ac:dyDescent="0.25">
      <c r="A70" s="32"/>
      <c r="B70" s="26" t="str">
        <f>_xlfn.IFNA(IF($A70&lt;&gt;"",VLOOKUP($A70,Protocolos!$A$6:$G$9997,2,FALSE),""),"Não localizado")</f>
        <v/>
      </c>
      <c r="C70" s="31" t="str">
        <f>_xlfn.IFNA(IF($A70&lt;&gt;"",VLOOKUP($A70,Protocolos!$A$6:$G$9997,7,FALSE),""),"Não localizado")</f>
        <v/>
      </c>
      <c r="D70" s="31" t="str">
        <f>_xlfn.IFNA(IF($A70&lt;&gt;"",VLOOKUP($A70,Protocolos!$A$6:$G$9997,6,FALSE),""),"Não localizado")</f>
        <v/>
      </c>
    </row>
    <row r="71" spans="1:4" x14ac:dyDescent="0.25">
      <c r="A71" s="32"/>
      <c r="B71" s="26" t="str">
        <f>_xlfn.IFNA(IF($A71&lt;&gt;"",VLOOKUP($A71,Protocolos!$A$6:$G$9997,2,FALSE),""),"Não localizado")</f>
        <v/>
      </c>
      <c r="C71" s="31" t="str">
        <f>_xlfn.IFNA(IF($A71&lt;&gt;"",VLOOKUP($A71,Protocolos!$A$6:$G$9997,7,FALSE),""),"Não localizado")</f>
        <v/>
      </c>
      <c r="D71" s="31" t="str">
        <f>_xlfn.IFNA(IF($A71&lt;&gt;"",VLOOKUP($A71,Protocolos!$A$6:$G$9997,6,FALSE),""),"Não localizado")</f>
        <v/>
      </c>
    </row>
    <row r="72" spans="1:4" x14ac:dyDescent="0.25">
      <c r="A72" s="32"/>
      <c r="B72" s="26" t="str">
        <f>_xlfn.IFNA(IF($A72&lt;&gt;"",VLOOKUP($A72,Protocolos!$A$6:$G$9997,2,FALSE),""),"Não localizado")</f>
        <v/>
      </c>
      <c r="C72" s="31" t="str">
        <f>_xlfn.IFNA(IF($A72&lt;&gt;"",VLOOKUP($A72,Protocolos!$A$6:$G$9997,7,FALSE),""),"Não localizado")</f>
        <v/>
      </c>
      <c r="D72" s="31" t="str">
        <f>_xlfn.IFNA(IF($A72&lt;&gt;"",VLOOKUP($A72,Protocolos!$A$6:$G$9997,6,FALSE),""),"Não localizado")</f>
        <v/>
      </c>
    </row>
    <row r="73" spans="1:4" x14ac:dyDescent="0.25">
      <c r="A73" s="32"/>
      <c r="B73" s="26" t="str">
        <f>_xlfn.IFNA(IF($A73&lt;&gt;"",VLOOKUP($A73,Protocolos!$A$6:$G$9997,2,FALSE),""),"Não localizado")</f>
        <v/>
      </c>
      <c r="C73" s="31" t="str">
        <f>_xlfn.IFNA(IF($A73&lt;&gt;"",VLOOKUP($A73,Protocolos!$A$6:$G$9997,7,FALSE),""),"Não localizado")</f>
        <v/>
      </c>
      <c r="D73" s="31" t="str">
        <f>_xlfn.IFNA(IF($A73&lt;&gt;"",VLOOKUP($A73,Protocolos!$A$6:$G$9997,6,FALSE),""),"Não localizado")</f>
        <v/>
      </c>
    </row>
    <row r="74" spans="1:4" x14ac:dyDescent="0.25">
      <c r="A74" s="32"/>
      <c r="B74" s="26" t="str">
        <f>_xlfn.IFNA(IF($A74&lt;&gt;"",VLOOKUP($A74,Protocolos!$A$6:$G$9997,2,FALSE),""),"Não localizado")</f>
        <v/>
      </c>
      <c r="C74" s="31" t="str">
        <f>_xlfn.IFNA(IF($A74&lt;&gt;"",VLOOKUP($A74,Protocolos!$A$6:$G$9997,7,FALSE),""),"Não localizado")</f>
        <v/>
      </c>
      <c r="D74" s="31" t="str">
        <f>_xlfn.IFNA(IF($A74&lt;&gt;"",VLOOKUP($A74,Protocolos!$A$6:$G$9997,6,FALSE),""),"Não localizado")</f>
        <v/>
      </c>
    </row>
    <row r="75" spans="1:4" x14ac:dyDescent="0.25">
      <c r="A75" s="32"/>
      <c r="B75" s="26" t="str">
        <f>_xlfn.IFNA(IF($A75&lt;&gt;"",VLOOKUP($A75,Protocolos!$A$6:$G$9997,2,FALSE),""),"Não localizado")</f>
        <v/>
      </c>
      <c r="C75" s="31" t="str">
        <f>_xlfn.IFNA(IF($A75&lt;&gt;"",VLOOKUP($A75,Protocolos!$A$6:$G$9997,7,FALSE),""),"Não localizado")</f>
        <v/>
      </c>
      <c r="D75" s="31" t="str">
        <f>_xlfn.IFNA(IF($A75&lt;&gt;"",VLOOKUP($A75,Protocolos!$A$6:$G$9997,6,FALSE),""),"Não localizado")</f>
        <v/>
      </c>
    </row>
    <row r="76" spans="1:4" x14ac:dyDescent="0.25">
      <c r="A76" s="32"/>
      <c r="B76" s="26" t="str">
        <f>_xlfn.IFNA(IF($A76&lt;&gt;"",VLOOKUP($A76,Protocolos!$A$6:$G$9997,2,FALSE),""),"Não localizado")</f>
        <v/>
      </c>
      <c r="C76" s="31" t="str">
        <f>_xlfn.IFNA(IF($A76&lt;&gt;"",VLOOKUP($A76,Protocolos!$A$6:$G$9997,7,FALSE),""),"Não localizado")</f>
        <v/>
      </c>
      <c r="D76" s="31" t="str">
        <f>_xlfn.IFNA(IF($A76&lt;&gt;"",VLOOKUP($A76,Protocolos!$A$6:$G$9997,6,FALSE),""),"Não localizado")</f>
        <v/>
      </c>
    </row>
    <row r="77" spans="1:4" x14ac:dyDescent="0.25">
      <c r="A77" s="32"/>
      <c r="B77" s="26" t="str">
        <f>_xlfn.IFNA(IF($A77&lt;&gt;"",VLOOKUP($A77,Protocolos!$A$6:$G$9997,2,FALSE),""),"Não localizado")</f>
        <v/>
      </c>
      <c r="C77" s="31" t="str">
        <f>_xlfn.IFNA(IF($A77&lt;&gt;"",VLOOKUP($A77,Protocolos!$A$6:$G$9997,7,FALSE),""),"Não localizado")</f>
        <v/>
      </c>
      <c r="D77" s="31" t="str">
        <f>_xlfn.IFNA(IF($A77&lt;&gt;"",VLOOKUP($A77,Protocolos!$A$6:$G$9997,6,FALSE),""),"Não localizado")</f>
        <v/>
      </c>
    </row>
    <row r="78" spans="1:4" x14ac:dyDescent="0.25">
      <c r="A78" s="32"/>
      <c r="B78" s="26" t="str">
        <f>_xlfn.IFNA(IF($A78&lt;&gt;"",VLOOKUP($A78,Protocolos!$A$6:$G$9997,2,FALSE),""),"Não localizado")</f>
        <v/>
      </c>
      <c r="C78" s="31" t="str">
        <f>_xlfn.IFNA(IF($A78&lt;&gt;"",VLOOKUP($A78,Protocolos!$A$6:$G$9997,7,FALSE),""),"Não localizado")</f>
        <v/>
      </c>
      <c r="D78" s="31" t="str">
        <f>_xlfn.IFNA(IF($A78&lt;&gt;"",VLOOKUP($A78,Protocolos!$A$6:$G$9997,6,FALSE),""),"Não localizado")</f>
        <v/>
      </c>
    </row>
    <row r="79" spans="1:4" x14ac:dyDescent="0.25">
      <c r="A79" s="32"/>
      <c r="B79" s="26" t="str">
        <f>_xlfn.IFNA(IF($A79&lt;&gt;"",VLOOKUP($A79,Protocolos!$A$6:$G$9997,2,FALSE),""),"Não localizado")</f>
        <v/>
      </c>
      <c r="C79" s="31" t="str">
        <f>_xlfn.IFNA(IF($A79&lt;&gt;"",VLOOKUP($A79,Protocolos!$A$6:$G$9997,7,FALSE),""),"Não localizado")</f>
        <v/>
      </c>
      <c r="D79" s="31" t="str">
        <f>_xlfn.IFNA(IF($A79&lt;&gt;"",VLOOKUP($A79,Protocolos!$A$6:$G$9997,6,FALSE),""),"Não localizado")</f>
        <v/>
      </c>
    </row>
    <row r="80" spans="1:4" x14ac:dyDescent="0.25">
      <c r="A80" s="32"/>
      <c r="B80" s="26" t="str">
        <f>_xlfn.IFNA(IF($A80&lt;&gt;"",VLOOKUP($A80,Protocolos!$A$6:$G$9997,2,FALSE),""),"Não localizado")</f>
        <v/>
      </c>
      <c r="C80" s="31" t="str">
        <f>_xlfn.IFNA(IF($A80&lt;&gt;"",VLOOKUP($A80,Protocolos!$A$6:$G$9997,7,FALSE),""),"Não localizado")</f>
        <v/>
      </c>
      <c r="D80" s="31" t="str">
        <f>_xlfn.IFNA(IF($A80&lt;&gt;"",VLOOKUP($A80,Protocolos!$A$6:$G$9997,6,FALSE),""),"Não localizado")</f>
        <v/>
      </c>
    </row>
    <row r="81" spans="1:4" x14ac:dyDescent="0.25">
      <c r="A81" s="32"/>
      <c r="B81" s="26" t="str">
        <f>_xlfn.IFNA(IF($A81&lt;&gt;"",VLOOKUP($A81,Protocolos!$A$6:$G$9997,2,FALSE),""),"Não localizado")</f>
        <v/>
      </c>
      <c r="C81" s="31" t="str">
        <f>_xlfn.IFNA(IF($A81&lt;&gt;"",VLOOKUP($A81,Protocolos!$A$6:$G$9997,7,FALSE),""),"Não localizado")</f>
        <v/>
      </c>
      <c r="D81" s="31" t="str">
        <f>_xlfn.IFNA(IF($A81&lt;&gt;"",VLOOKUP($A81,Protocolos!$A$6:$G$9997,6,FALSE),""),"Não localizado")</f>
        <v/>
      </c>
    </row>
    <row r="82" spans="1:4" x14ac:dyDescent="0.25">
      <c r="A82" s="32"/>
      <c r="B82" s="26" t="str">
        <f>_xlfn.IFNA(IF($A82&lt;&gt;"",VLOOKUP($A82,Protocolos!$A$6:$G$9997,2,FALSE),""),"Não localizado")</f>
        <v/>
      </c>
      <c r="C82" s="31" t="str">
        <f>_xlfn.IFNA(IF($A82&lt;&gt;"",VLOOKUP($A82,Protocolos!$A$6:$G$9997,7,FALSE),""),"Não localizado")</f>
        <v/>
      </c>
      <c r="D82" s="31" t="str">
        <f>_xlfn.IFNA(IF($A82&lt;&gt;"",VLOOKUP($A82,Protocolos!$A$6:$G$9997,6,FALSE),""),"Não localizado")</f>
        <v/>
      </c>
    </row>
    <row r="83" spans="1:4" x14ac:dyDescent="0.25">
      <c r="A83" s="32"/>
      <c r="B83" s="26" t="str">
        <f>_xlfn.IFNA(IF($A83&lt;&gt;"",VLOOKUP($A83,Protocolos!$A$6:$G$9997,2,FALSE),""),"Não localizado")</f>
        <v/>
      </c>
      <c r="C83" s="31" t="str">
        <f>_xlfn.IFNA(IF($A83&lt;&gt;"",VLOOKUP($A83,Protocolos!$A$6:$G$9997,7,FALSE),""),"Não localizado")</f>
        <v/>
      </c>
      <c r="D83" s="31" t="str">
        <f>_xlfn.IFNA(IF($A83&lt;&gt;"",VLOOKUP($A83,Protocolos!$A$6:$G$9997,6,FALSE),""),"Não localizado")</f>
        <v/>
      </c>
    </row>
    <row r="84" spans="1:4" x14ac:dyDescent="0.25">
      <c r="A84" s="32"/>
      <c r="B84" s="26" t="str">
        <f>_xlfn.IFNA(IF($A84&lt;&gt;"",VLOOKUP($A84,Protocolos!$A$6:$G$9997,2,FALSE),""),"Não localizado")</f>
        <v/>
      </c>
      <c r="C84" s="31" t="str">
        <f>_xlfn.IFNA(IF($A84&lt;&gt;"",VLOOKUP($A84,Protocolos!$A$6:$G$9997,7,FALSE),""),"Não localizado")</f>
        <v/>
      </c>
      <c r="D84" s="31" t="str">
        <f>_xlfn.IFNA(IF($A84&lt;&gt;"",VLOOKUP($A84,Protocolos!$A$6:$G$9997,6,FALSE),""),"Não localizado")</f>
        <v/>
      </c>
    </row>
    <row r="85" spans="1:4" x14ac:dyDescent="0.25">
      <c r="A85" s="32"/>
      <c r="B85" s="26" t="str">
        <f>_xlfn.IFNA(IF($A85&lt;&gt;"",VLOOKUP($A85,Protocolos!$A$6:$G$9997,2,FALSE),""),"Não localizado")</f>
        <v/>
      </c>
      <c r="C85" s="31" t="str">
        <f>_xlfn.IFNA(IF($A85&lt;&gt;"",VLOOKUP($A85,Protocolos!$A$6:$G$9997,7,FALSE),""),"Não localizado")</f>
        <v/>
      </c>
      <c r="D85" s="31" t="str">
        <f>_xlfn.IFNA(IF($A85&lt;&gt;"",VLOOKUP($A85,Protocolos!$A$6:$G$9997,6,FALSE),""),"Não localizado")</f>
        <v/>
      </c>
    </row>
    <row r="86" spans="1:4" x14ac:dyDescent="0.25">
      <c r="A86" s="32"/>
      <c r="B86" s="26" t="str">
        <f>_xlfn.IFNA(IF($A86&lt;&gt;"",VLOOKUP($A86,Protocolos!$A$6:$G$9997,2,FALSE),""),"Não localizado")</f>
        <v/>
      </c>
      <c r="C86" s="31" t="str">
        <f>_xlfn.IFNA(IF($A86&lt;&gt;"",VLOOKUP($A86,Protocolos!$A$6:$G$9997,7,FALSE),""),"Não localizado")</f>
        <v/>
      </c>
      <c r="D86" s="31" t="str">
        <f>_xlfn.IFNA(IF($A86&lt;&gt;"",VLOOKUP($A86,Protocolos!$A$6:$G$9997,6,FALSE),""),"Não localizado")</f>
        <v/>
      </c>
    </row>
    <row r="87" spans="1:4" x14ac:dyDescent="0.25">
      <c r="A87" s="32"/>
      <c r="B87" s="26" t="str">
        <f>_xlfn.IFNA(IF($A87&lt;&gt;"",VLOOKUP($A87,Protocolos!$A$6:$G$9997,2,FALSE),""),"Não localizado")</f>
        <v/>
      </c>
      <c r="C87" s="31" t="str">
        <f>_xlfn.IFNA(IF($A87&lt;&gt;"",VLOOKUP($A87,Protocolos!$A$6:$G$9997,7,FALSE),""),"Não localizado")</f>
        <v/>
      </c>
      <c r="D87" s="31" t="str">
        <f>_xlfn.IFNA(IF($A87&lt;&gt;"",VLOOKUP($A87,Protocolos!$A$6:$G$9997,6,FALSE),""),"Não localizado")</f>
        <v/>
      </c>
    </row>
    <row r="88" spans="1:4" x14ac:dyDescent="0.25">
      <c r="A88" s="32"/>
      <c r="B88" s="26" t="str">
        <f>_xlfn.IFNA(IF($A88&lt;&gt;"",VLOOKUP($A88,Protocolos!$A$6:$G$9997,2,FALSE),""),"Não localizado")</f>
        <v/>
      </c>
      <c r="C88" s="31" t="str">
        <f>_xlfn.IFNA(IF($A88&lt;&gt;"",VLOOKUP($A88,Protocolos!$A$6:$G$9997,7,FALSE),""),"Não localizado")</f>
        <v/>
      </c>
      <c r="D88" s="31" t="str">
        <f>_xlfn.IFNA(IF($A88&lt;&gt;"",VLOOKUP($A88,Protocolos!$A$6:$G$9997,6,FALSE),""),"Não localizado")</f>
        <v/>
      </c>
    </row>
    <row r="89" spans="1:4" x14ac:dyDescent="0.25">
      <c r="A89" s="32"/>
      <c r="B89" s="26" t="str">
        <f>_xlfn.IFNA(IF($A89&lt;&gt;"",VLOOKUP($A89,Protocolos!$A$6:$G$9997,2,FALSE),""),"Não localizado")</f>
        <v/>
      </c>
      <c r="C89" s="31" t="str">
        <f>_xlfn.IFNA(IF($A89&lt;&gt;"",VLOOKUP($A89,Protocolos!$A$6:$G$9997,7,FALSE),""),"Não localizado")</f>
        <v/>
      </c>
      <c r="D89" s="31" t="str">
        <f>_xlfn.IFNA(IF($A89&lt;&gt;"",VLOOKUP($A89,Protocolos!$A$6:$G$9997,6,FALSE),""),"Não localizado")</f>
        <v/>
      </c>
    </row>
    <row r="90" spans="1:4" x14ac:dyDescent="0.25">
      <c r="A90" s="32"/>
      <c r="B90" s="26" t="str">
        <f>_xlfn.IFNA(IF($A90&lt;&gt;"",VLOOKUP($A90,Protocolos!$A$6:$G$9997,2,FALSE),""),"Não localizado")</f>
        <v/>
      </c>
      <c r="C90" s="31" t="str">
        <f>_xlfn.IFNA(IF($A90&lt;&gt;"",VLOOKUP($A90,Protocolos!$A$6:$G$9997,7,FALSE),""),"Não localizado")</f>
        <v/>
      </c>
      <c r="D90" s="31" t="str">
        <f>_xlfn.IFNA(IF($A90&lt;&gt;"",VLOOKUP($A90,Protocolos!$A$6:$G$9997,6,FALSE),""),"Não localizado")</f>
        <v/>
      </c>
    </row>
    <row r="91" spans="1:4" x14ac:dyDescent="0.25">
      <c r="A91" s="32"/>
      <c r="B91" s="26" t="str">
        <f>_xlfn.IFNA(IF($A91&lt;&gt;"",VLOOKUP($A91,Protocolos!$A$6:$G$9997,2,FALSE),""),"Não localizado")</f>
        <v/>
      </c>
      <c r="C91" s="31" t="str">
        <f>_xlfn.IFNA(IF($A91&lt;&gt;"",VLOOKUP($A91,Protocolos!$A$6:$G$9997,7,FALSE),""),"Não localizado")</f>
        <v/>
      </c>
      <c r="D91" s="31" t="str">
        <f>_xlfn.IFNA(IF($A91&lt;&gt;"",VLOOKUP($A91,Protocolos!$A$6:$G$9997,6,FALSE),""),"Não localizado")</f>
        <v/>
      </c>
    </row>
    <row r="92" spans="1:4" x14ac:dyDescent="0.25">
      <c r="A92" s="32"/>
      <c r="B92" s="26" t="str">
        <f>_xlfn.IFNA(IF($A92&lt;&gt;"",VLOOKUP($A92,Protocolos!$A$6:$G$9997,2,FALSE),""),"Não localizado")</f>
        <v/>
      </c>
      <c r="C92" s="31" t="str">
        <f>_xlfn.IFNA(IF($A92&lt;&gt;"",VLOOKUP($A92,Protocolos!$A$6:$G$9997,7,FALSE),""),"Não localizado")</f>
        <v/>
      </c>
      <c r="D92" s="31" t="str">
        <f>_xlfn.IFNA(IF($A92&lt;&gt;"",VLOOKUP($A92,Protocolos!$A$6:$G$9997,6,FALSE),""),"Não localizado")</f>
        <v/>
      </c>
    </row>
    <row r="93" spans="1:4" x14ac:dyDescent="0.25">
      <c r="A93" s="32"/>
      <c r="B93" s="26" t="str">
        <f>_xlfn.IFNA(IF($A93&lt;&gt;"",VLOOKUP($A93,Protocolos!$A$6:$G$9997,2,FALSE),""),"Não localizado")</f>
        <v/>
      </c>
      <c r="C93" s="31" t="str">
        <f>_xlfn.IFNA(IF($A93&lt;&gt;"",VLOOKUP($A93,Protocolos!$A$6:$G$9997,7,FALSE),""),"Não localizado")</f>
        <v/>
      </c>
      <c r="D93" s="31" t="str">
        <f>_xlfn.IFNA(IF($A93&lt;&gt;"",VLOOKUP($A93,Protocolos!$A$6:$G$9997,6,FALSE),""),"Não localizado")</f>
        <v/>
      </c>
    </row>
    <row r="94" spans="1:4" x14ac:dyDescent="0.25">
      <c r="A94" s="32"/>
      <c r="B94" s="26" t="str">
        <f>_xlfn.IFNA(IF($A94&lt;&gt;"",VLOOKUP($A94,Protocolos!$A$6:$G$9997,2,FALSE),""),"Não localizado")</f>
        <v/>
      </c>
      <c r="C94" s="31" t="str">
        <f>_xlfn.IFNA(IF($A94&lt;&gt;"",VLOOKUP($A94,Protocolos!$A$6:$G$9997,7,FALSE),""),"Não localizado")</f>
        <v/>
      </c>
      <c r="D94" s="31" t="str">
        <f>_xlfn.IFNA(IF($A94&lt;&gt;"",VLOOKUP($A94,Protocolos!$A$6:$G$9997,6,FALSE),""),"Não localizado")</f>
        <v/>
      </c>
    </row>
    <row r="95" spans="1:4" x14ac:dyDescent="0.25">
      <c r="A95" s="32"/>
      <c r="B95" s="26" t="str">
        <f>_xlfn.IFNA(IF($A95&lt;&gt;"",VLOOKUP($A95,Protocolos!$A$6:$G$9997,2,FALSE),""),"Não localizado")</f>
        <v/>
      </c>
      <c r="C95" s="31" t="str">
        <f>_xlfn.IFNA(IF($A95&lt;&gt;"",VLOOKUP($A95,Protocolos!$A$6:$G$9997,7,FALSE),""),"Não localizado")</f>
        <v/>
      </c>
      <c r="D95" s="31" t="str">
        <f>_xlfn.IFNA(IF($A95&lt;&gt;"",VLOOKUP($A95,Protocolos!$A$6:$G$9997,6,FALSE),""),"Não localizado")</f>
        <v/>
      </c>
    </row>
    <row r="96" spans="1:4" x14ac:dyDescent="0.25">
      <c r="A96" s="32"/>
      <c r="B96" s="26" t="str">
        <f>_xlfn.IFNA(IF($A96&lt;&gt;"",VLOOKUP($A96,Protocolos!$A$6:$G$9997,2,FALSE),""),"Não localizado")</f>
        <v/>
      </c>
      <c r="C96" s="31" t="str">
        <f>_xlfn.IFNA(IF($A96&lt;&gt;"",VLOOKUP($A96,Protocolos!$A$6:$G$9997,7,FALSE),""),"Não localizado")</f>
        <v/>
      </c>
      <c r="D96" s="31" t="str">
        <f>_xlfn.IFNA(IF($A96&lt;&gt;"",VLOOKUP($A96,Protocolos!$A$6:$G$9997,6,FALSE),""),"Não localizado")</f>
        <v/>
      </c>
    </row>
    <row r="97" spans="1:4" x14ac:dyDescent="0.25">
      <c r="A97" s="32"/>
      <c r="B97" s="26" t="str">
        <f>_xlfn.IFNA(IF($A97&lt;&gt;"",VLOOKUP($A97,Protocolos!$A$6:$G$9997,2,FALSE),""),"Não localizado")</f>
        <v/>
      </c>
      <c r="C97" s="31" t="str">
        <f>_xlfn.IFNA(IF($A97&lt;&gt;"",VLOOKUP($A97,Protocolos!$A$6:$G$9997,7,FALSE),""),"Não localizado")</f>
        <v/>
      </c>
      <c r="D97" s="31" t="str">
        <f>_xlfn.IFNA(IF($A97&lt;&gt;"",VLOOKUP($A97,Protocolos!$A$6:$G$9997,6,FALSE),""),"Não localizado")</f>
        <v/>
      </c>
    </row>
    <row r="98" spans="1:4" x14ac:dyDescent="0.25">
      <c r="A98" s="32"/>
      <c r="B98" s="26" t="str">
        <f>_xlfn.IFNA(IF($A98&lt;&gt;"",VLOOKUP($A98,Protocolos!$A$6:$G$9997,2,FALSE),""),"Não localizado")</f>
        <v/>
      </c>
      <c r="C98" s="31" t="str">
        <f>_xlfn.IFNA(IF($A98&lt;&gt;"",VLOOKUP($A98,Protocolos!$A$6:$G$9997,7,FALSE),""),"Não localizado")</f>
        <v/>
      </c>
      <c r="D98" s="31" t="str">
        <f>_xlfn.IFNA(IF($A98&lt;&gt;"",VLOOKUP($A98,Protocolos!$A$6:$G$9997,6,FALSE),""),"Não localizado")</f>
        <v/>
      </c>
    </row>
    <row r="99" spans="1:4" x14ac:dyDescent="0.25">
      <c r="A99" s="32"/>
      <c r="B99" s="26" t="str">
        <f>_xlfn.IFNA(IF($A99&lt;&gt;"",VLOOKUP($A99,Protocolos!$A$6:$G$9997,2,FALSE),""),"Não localizado")</f>
        <v/>
      </c>
      <c r="C99" s="31" t="str">
        <f>_xlfn.IFNA(IF($A99&lt;&gt;"",VLOOKUP($A99,Protocolos!$A$6:$G$9997,7,FALSE),""),"Não localizado")</f>
        <v/>
      </c>
      <c r="D99" s="31" t="str">
        <f>_xlfn.IFNA(IF($A99&lt;&gt;"",VLOOKUP($A99,Protocolos!$A$6:$G$9997,6,FALSE),""),"Não localizado")</f>
        <v/>
      </c>
    </row>
    <row r="100" spans="1:4" x14ac:dyDescent="0.25">
      <c r="A100" s="32"/>
      <c r="B100" s="26" t="str">
        <f>_xlfn.IFNA(IF($A100&lt;&gt;"",VLOOKUP($A100,Protocolos!$A$6:$G$9997,2,FALSE),""),"Não localizado")</f>
        <v/>
      </c>
      <c r="C100" s="31" t="str">
        <f>_xlfn.IFNA(IF($A100&lt;&gt;"",VLOOKUP($A100,Protocolos!$A$6:$G$9997,7,FALSE),""),"Não localizado")</f>
        <v/>
      </c>
      <c r="D100" s="31" t="str">
        <f>_xlfn.IFNA(IF($A100&lt;&gt;"",VLOOKUP($A100,Protocolos!$A$6:$G$9997,6,FALSE),""),"Não localizado")</f>
        <v/>
      </c>
    </row>
    <row r="101" spans="1:4" x14ac:dyDescent="0.25">
      <c r="A101" s="32"/>
      <c r="B101" s="26" t="str">
        <f>_xlfn.IFNA(IF($A101&lt;&gt;"",VLOOKUP($A101,Protocolos!$A$6:$G$9997,2,FALSE),""),"Não localizado")</f>
        <v/>
      </c>
      <c r="C101" s="31" t="str">
        <f>_xlfn.IFNA(IF($A101&lt;&gt;"",VLOOKUP($A101,Protocolos!$A$6:$G$9997,7,FALSE),""),"Não localizado")</f>
        <v/>
      </c>
      <c r="D101" s="31" t="str">
        <f>_xlfn.IFNA(IF($A101&lt;&gt;"",VLOOKUP($A101,Protocolos!$A$6:$G$9997,6,FALSE),""),"Não localizado")</f>
        <v/>
      </c>
    </row>
    <row r="102" spans="1:4" x14ac:dyDescent="0.25">
      <c r="A102" s="32"/>
      <c r="B102" s="26" t="str">
        <f>_xlfn.IFNA(IF($A102&lt;&gt;"",VLOOKUP($A102,Protocolos!$A$6:$G$9997,2,FALSE),""),"Não localizado")</f>
        <v/>
      </c>
      <c r="C102" s="31" t="str">
        <f>_xlfn.IFNA(IF($A102&lt;&gt;"",VLOOKUP($A102,Protocolos!$A$6:$G$9997,7,FALSE),""),"Não localizado")</f>
        <v/>
      </c>
      <c r="D102" s="31" t="str">
        <f>_xlfn.IFNA(IF($A102&lt;&gt;"",VLOOKUP($A102,Protocolos!$A$6:$G$9997,6,FALSE),""),"Não localizado")</f>
        <v/>
      </c>
    </row>
    <row r="103" spans="1:4" x14ac:dyDescent="0.25">
      <c r="A103" s="32"/>
      <c r="B103" s="26" t="str">
        <f>_xlfn.IFNA(IF($A103&lt;&gt;"",VLOOKUP($A103,Protocolos!$A$6:$G$9997,2,FALSE),""),"Não localizado")</f>
        <v/>
      </c>
      <c r="C103" s="31" t="str">
        <f>_xlfn.IFNA(IF($A103&lt;&gt;"",VLOOKUP($A103,Protocolos!$A$6:$G$9997,7,FALSE),""),"Não localizado")</f>
        <v/>
      </c>
      <c r="D103" s="31" t="str">
        <f>_xlfn.IFNA(IF($A103&lt;&gt;"",VLOOKUP($A103,Protocolos!$A$6:$G$9997,6,FALSE),""),"Não localizado")</f>
        <v/>
      </c>
    </row>
    <row r="104" spans="1:4" x14ac:dyDescent="0.25">
      <c r="A104" s="32"/>
      <c r="B104" s="26" t="str">
        <f>_xlfn.IFNA(IF($A104&lt;&gt;"",VLOOKUP($A104,Protocolos!$A$6:$G$9997,2,FALSE),""),"Não localizado")</f>
        <v/>
      </c>
      <c r="C104" s="31" t="str">
        <f>_xlfn.IFNA(IF($A104&lt;&gt;"",VLOOKUP($A104,Protocolos!$A$6:$G$9997,7,FALSE),""),"Não localizado")</f>
        <v/>
      </c>
      <c r="D104" s="31" t="str">
        <f>_xlfn.IFNA(IF($A104&lt;&gt;"",VLOOKUP($A104,Protocolos!$A$6:$G$9997,6,FALSE),""),"Não localizado")</f>
        <v/>
      </c>
    </row>
    <row r="105" spans="1:4" x14ac:dyDescent="0.25">
      <c r="A105" s="32"/>
      <c r="B105" s="26" t="str">
        <f>_xlfn.IFNA(IF($A105&lt;&gt;"",VLOOKUP($A105,Protocolos!$A$6:$G$9997,2,FALSE),""),"Não localizado")</f>
        <v/>
      </c>
      <c r="C105" s="31" t="str">
        <f>_xlfn.IFNA(IF($A105&lt;&gt;"",VLOOKUP($A105,Protocolos!$A$6:$G$9997,7,FALSE),""),"Não localizado")</f>
        <v/>
      </c>
      <c r="D105" s="31" t="str">
        <f>_xlfn.IFNA(IF($A105&lt;&gt;"",VLOOKUP($A105,Protocolos!$A$6:$G$9997,6,FALSE),""),"Não localizado")</f>
        <v/>
      </c>
    </row>
    <row r="106" spans="1:4" x14ac:dyDescent="0.25">
      <c r="A106" s="32"/>
      <c r="B106" s="26" t="str">
        <f>_xlfn.IFNA(IF($A106&lt;&gt;"",VLOOKUP($A106,Protocolos!$A$6:$G$9997,2,FALSE),""),"Não localizado")</f>
        <v/>
      </c>
      <c r="C106" s="31" t="str">
        <f>_xlfn.IFNA(IF($A106&lt;&gt;"",VLOOKUP($A106,Protocolos!$A$6:$G$9997,7,FALSE),""),"Não localizado")</f>
        <v/>
      </c>
      <c r="D106" s="31" t="str">
        <f>_xlfn.IFNA(IF($A106&lt;&gt;"",VLOOKUP($A106,Protocolos!$A$6:$G$9997,6,FALSE),""),"Não localizado")</f>
        <v/>
      </c>
    </row>
    <row r="107" spans="1:4" x14ac:dyDescent="0.25">
      <c r="A107" s="32"/>
      <c r="B107" s="26" t="str">
        <f>_xlfn.IFNA(IF($A107&lt;&gt;"",VLOOKUP($A107,Protocolos!$A$6:$G$9997,2,FALSE),""),"Não localizado")</f>
        <v/>
      </c>
      <c r="C107" s="31" t="str">
        <f>_xlfn.IFNA(IF($A107&lt;&gt;"",VLOOKUP($A107,Protocolos!$A$6:$G$9997,7,FALSE),""),"Não localizado")</f>
        <v/>
      </c>
      <c r="D107" s="31" t="str">
        <f>_xlfn.IFNA(IF($A107&lt;&gt;"",VLOOKUP($A107,Protocolos!$A$6:$G$9997,6,FALSE),""),"Não localizado")</f>
        <v/>
      </c>
    </row>
    <row r="108" spans="1:4" x14ac:dyDescent="0.25">
      <c r="A108" s="32"/>
      <c r="B108" s="26" t="str">
        <f>_xlfn.IFNA(IF($A108&lt;&gt;"",VLOOKUP($A108,Protocolos!$A$6:$G$9997,2,FALSE),""),"Não localizado")</f>
        <v/>
      </c>
      <c r="C108" s="31" t="str">
        <f>_xlfn.IFNA(IF($A108&lt;&gt;"",VLOOKUP($A108,Protocolos!$A$6:$G$9997,7,FALSE),""),"Não localizado")</f>
        <v/>
      </c>
      <c r="D108" s="31" t="str">
        <f>_xlfn.IFNA(IF($A108&lt;&gt;"",VLOOKUP($A108,Protocolos!$A$6:$G$9997,6,FALSE),""),"Não localizado")</f>
        <v/>
      </c>
    </row>
    <row r="109" spans="1:4" x14ac:dyDescent="0.25">
      <c r="A109" s="32"/>
      <c r="B109" s="26" t="str">
        <f>_xlfn.IFNA(IF($A109&lt;&gt;"",VLOOKUP($A109,Protocolos!$A$6:$G$9997,2,FALSE),""),"Não localizado")</f>
        <v/>
      </c>
      <c r="C109" s="31" t="str">
        <f>_xlfn.IFNA(IF($A109&lt;&gt;"",VLOOKUP($A109,Protocolos!$A$6:$G$9997,7,FALSE),""),"Não localizado")</f>
        <v/>
      </c>
      <c r="D109" s="31" t="str">
        <f>_xlfn.IFNA(IF($A109&lt;&gt;"",VLOOKUP($A109,Protocolos!$A$6:$G$9997,6,FALSE),""),"Não localizado")</f>
        <v/>
      </c>
    </row>
    <row r="110" spans="1:4" x14ac:dyDescent="0.25">
      <c r="A110" s="32"/>
      <c r="B110" s="26" t="str">
        <f>_xlfn.IFNA(IF($A110&lt;&gt;"",VLOOKUP($A110,Protocolos!$A$6:$G$9997,2,FALSE),""),"Não localizado")</f>
        <v/>
      </c>
      <c r="C110" s="31" t="str">
        <f>_xlfn.IFNA(IF($A110&lt;&gt;"",VLOOKUP($A110,Protocolos!$A$6:$G$9997,7,FALSE),""),"Não localizado")</f>
        <v/>
      </c>
      <c r="D110" s="31" t="str">
        <f>_xlfn.IFNA(IF($A110&lt;&gt;"",VLOOKUP($A110,Protocolos!$A$6:$G$9997,6,FALSE),""),"Não localizado")</f>
        <v/>
      </c>
    </row>
    <row r="111" spans="1:4" x14ac:dyDescent="0.25">
      <c r="A111" s="32"/>
      <c r="B111" s="26" t="str">
        <f>_xlfn.IFNA(IF($A111&lt;&gt;"",VLOOKUP($A111,Protocolos!$A$6:$G$9997,2,FALSE),""),"Não localizado")</f>
        <v/>
      </c>
      <c r="C111" s="31" t="str">
        <f>_xlfn.IFNA(IF($A111&lt;&gt;"",VLOOKUP($A111,Protocolos!$A$6:$G$9997,7,FALSE),""),"Não localizado")</f>
        <v/>
      </c>
      <c r="D111" s="31" t="str">
        <f>_xlfn.IFNA(IF($A111&lt;&gt;"",VLOOKUP($A111,Protocolos!$A$6:$G$9997,6,FALSE),""),"Não localizado")</f>
        <v/>
      </c>
    </row>
    <row r="112" spans="1:4" x14ac:dyDescent="0.25">
      <c r="A112" s="32"/>
      <c r="B112" s="26" t="str">
        <f>_xlfn.IFNA(IF($A112&lt;&gt;"",VLOOKUP($A112,Protocolos!$A$6:$G$9997,2,FALSE),""),"Não localizado")</f>
        <v/>
      </c>
      <c r="C112" s="31" t="str">
        <f>_xlfn.IFNA(IF($A112&lt;&gt;"",VLOOKUP($A112,Protocolos!$A$6:$G$9997,7,FALSE),""),"Não localizado")</f>
        <v/>
      </c>
      <c r="D112" s="31" t="str">
        <f>_xlfn.IFNA(IF($A112&lt;&gt;"",VLOOKUP($A112,Protocolos!$A$6:$G$9997,6,FALSE),""),"Não localizado")</f>
        <v/>
      </c>
    </row>
    <row r="113" spans="1:4" x14ac:dyDescent="0.25">
      <c r="A113" s="32"/>
      <c r="B113" s="26" t="str">
        <f>_xlfn.IFNA(IF($A113&lt;&gt;"",VLOOKUP($A113,Protocolos!$A$6:$G$9997,2,FALSE),""),"Não localizado")</f>
        <v/>
      </c>
      <c r="C113" s="31" t="str">
        <f>_xlfn.IFNA(IF($A113&lt;&gt;"",VLOOKUP($A113,Protocolos!$A$6:$G$9997,7,FALSE),""),"Não localizado")</f>
        <v/>
      </c>
      <c r="D113" s="31" t="str">
        <f>_xlfn.IFNA(IF($A113&lt;&gt;"",VLOOKUP($A113,Protocolos!$A$6:$G$9997,6,FALSE),""),"Não localizado")</f>
        <v/>
      </c>
    </row>
    <row r="114" spans="1:4" x14ac:dyDescent="0.25">
      <c r="A114" s="32"/>
      <c r="B114" s="26" t="str">
        <f>_xlfn.IFNA(IF($A114&lt;&gt;"",VLOOKUP($A114,Protocolos!$A$6:$G$9997,2,FALSE),""),"Não localizado")</f>
        <v/>
      </c>
      <c r="C114" s="31" t="str">
        <f>_xlfn.IFNA(IF($A114&lt;&gt;"",VLOOKUP($A114,Protocolos!$A$6:$G$9997,7,FALSE),""),"Não localizado")</f>
        <v/>
      </c>
      <c r="D114" s="31" t="str">
        <f>_xlfn.IFNA(IF($A114&lt;&gt;"",VLOOKUP($A114,Protocolos!$A$6:$G$9997,6,FALSE),""),"Não localizado")</f>
        <v/>
      </c>
    </row>
    <row r="115" spans="1:4" x14ac:dyDescent="0.25">
      <c r="A115" s="32"/>
      <c r="B115" s="26" t="str">
        <f>_xlfn.IFNA(IF($A115&lt;&gt;"",VLOOKUP($A115,Protocolos!$A$6:$G$9997,2,FALSE),""),"Não localizado")</f>
        <v/>
      </c>
      <c r="C115" s="31" t="str">
        <f>_xlfn.IFNA(IF($A115&lt;&gt;"",VLOOKUP($A115,Protocolos!$A$6:$G$9997,7,FALSE),""),"Não localizado")</f>
        <v/>
      </c>
      <c r="D115" s="31" t="str">
        <f>_xlfn.IFNA(IF($A115&lt;&gt;"",VLOOKUP($A115,Protocolos!$A$6:$G$9997,6,FALSE),""),"Não localizado")</f>
        <v/>
      </c>
    </row>
    <row r="116" spans="1:4" x14ac:dyDescent="0.25">
      <c r="A116" s="32"/>
      <c r="B116" s="26" t="str">
        <f>_xlfn.IFNA(IF($A116&lt;&gt;"",VLOOKUP($A116,Protocolos!$A$6:$G$9997,2,FALSE),""),"Não localizado")</f>
        <v/>
      </c>
      <c r="C116" s="31" t="str">
        <f>_xlfn.IFNA(IF($A116&lt;&gt;"",VLOOKUP($A116,Protocolos!$A$6:$G$9997,7,FALSE),""),"Não localizado")</f>
        <v/>
      </c>
      <c r="D116" s="31" t="str">
        <f>_xlfn.IFNA(IF($A116&lt;&gt;"",VLOOKUP($A116,Protocolos!$A$6:$G$9997,6,FALSE),""),"Não localizado")</f>
        <v/>
      </c>
    </row>
    <row r="117" spans="1:4" x14ac:dyDescent="0.25">
      <c r="A117" s="32"/>
      <c r="B117" s="26" t="str">
        <f>_xlfn.IFNA(IF($A117&lt;&gt;"",VLOOKUP($A117,Protocolos!$A$6:$G$9997,2,FALSE),""),"Não localizado")</f>
        <v/>
      </c>
      <c r="C117" s="31" t="str">
        <f>_xlfn.IFNA(IF($A117&lt;&gt;"",VLOOKUP($A117,Protocolos!$A$6:$G$9997,7,FALSE),""),"Não localizado")</f>
        <v/>
      </c>
      <c r="D117" s="31" t="str">
        <f>_xlfn.IFNA(IF($A117&lt;&gt;"",VLOOKUP($A117,Protocolos!$A$6:$G$9997,6,FALSE),""),"Não localizado")</f>
        <v/>
      </c>
    </row>
    <row r="118" spans="1:4" x14ac:dyDescent="0.25">
      <c r="A118" s="32"/>
      <c r="B118" s="26" t="str">
        <f>_xlfn.IFNA(IF($A118&lt;&gt;"",VLOOKUP($A118,Protocolos!$A$6:$G$9997,2,FALSE),""),"Não localizado")</f>
        <v/>
      </c>
      <c r="C118" s="31" t="str">
        <f>_xlfn.IFNA(IF($A118&lt;&gt;"",VLOOKUP($A118,Protocolos!$A$6:$G$9997,7,FALSE),""),"Não localizado")</f>
        <v/>
      </c>
      <c r="D118" s="31" t="str">
        <f>_xlfn.IFNA(IF($A118&lt;&gt;"",VLOOKUP($A118,Protocolos!$A$6:$G$9997,6,FALSE),""),"Não localizado")</f>
        <v/>
      </c>
    </row>
    <row r="119" spans="1:4" x14ac:dyDescent="0.25">
      <c r="A119" s="32"/>
      <c r="B119" s="26" t="str">
        <f>_xlfn.IFNA(IF($A119&lt;&gt;"",VLOOKUP($A119,Protocolos!$A$6:$G$9997,2,FALSE),""),"Não localizado")</f>
        <v/>
      </c>
      <c r="C119" s="31" t="str">
        <f>_xlfn.IFNA(IF($A119&lt;&gt;"",VLOOKUP($A119,Protocolos!$A$6:$G$9997,7,FALSE),""),"Não localizado")</f>
        <v/>
      </c>
      <c r="D119" s="31" t="str">
        <f>_xlfn.IFNA(IF($A119&lt;&gt;"",VLOOKUP($A119,Protocolos!$A$6:$G$9997,6,FALSE),""),"Não localizado")</f>
        <v/>
      </c>
    </row>
    <row r="120" spans="1:4" x14ac:dyDescent="0.25">
      <c r="A120" s="32"/>
      <c r="B120" s="26" t="str">
        <f>_xlfn.IFNA(IF($A120&lt;&gt;"",VLOOKUP($A120,Protocolos!$A$6:$G$9997,2,FALSE),""),"Não localizado")</f>
        <v/>
      </c>
      <c r="C120" s="31" t="str">
        <f>_xlfn.IFNA(IF($A120&lt;&gt;"",VLOOKUP($A120,Protocolos!$A$6:$G$9997,7,FALSE),""),"Não localizado")</f>
        <v/>
      </c>
      <c r="D120" s="31" t="str">
        <f>_xlfn.IFNA(IF($A120&lt;&gt;"",VLOOKUP($A120,Protocolos!$A$6:$G$9997,6,FALSE),""),"Não localizado")</f>
        <v/>
      </c>
    </row>
    <row r="121" spans="1:4" x14ac:dyDescent="0.25">
      <c r="A121" s="32"/>
      <c r="B121" s="26" t="str">
        <f>_xlfn.IFNA(IF($A121&lt;&gt;"",VLOOKUP($A121,Protocolos!$A$6:$G$9997,2,FALSE),""),"Não localizado")</f>
        <v/>
      </c>
      <c r="C121" s="31" t="str">
        <f>_xlfn.IFNA(IF($A121&lt;&gt;"",VLOOKUP($A121,Protocolos!$A$6:$G$9997,7,FALSE),""),"Não localizado")</f>
        <v/>
      </c>
      <c r="D121" s="31" t="str">
        <f>_xlfn.IFNA(IF($A121&lt;&gt;"",VLOOKUP($A121,Protocolos!$A$6:$G$9997,6,FALSE),""),"Não localizado")</f>
        <v/>
      </c>
    </row>
    <row r="122" spans="1:4" x14ac:dyDescent="0.25">
      <c r="A122" s="32"/>
      <c r="B122" s="26" t="str">
        <f>_xlfn.IFNA(IF($A122&lt;&gt;"",VLOOKUP($A122,Protocolos!$A$6:$G$9997,2,FALSE),""),"Não localizado")</f>
        <v/>
      </c>
      <c r="C122" s="31" t="str">
        <f>_xlfn.IFNA(IF($A122&lt;&gt;"",VLOOKUP($A122,Protocolos!$A$6:$G$9997,7,FALSE),""),"Não localizado")</f>
        <v/>
      </c>
      <c r="D122" s="31" t="str">
        <f>_xlfn.IFNA(IF($A122&lt;&gt;"",VLOOKUP($A122,Protocolos!$A$6:$G$9997,6,FALSE),""),"Não localizado")</f>
        <v/>
      </c>
    </row>
    <row r="123" spans="1:4" x14ac:dyDescent="0.25">
      <c r="A123" s="32"/>
      <c r="B123" s="26" t="str">
        <f>_xlfn.IFNA(IF($A123&lt;&gt;"",VLOOKUP($A123,Protocolos!$A$6:$G$9997,2,FALSE),""),"Não localizado")</f>
        <v/>
      </c>
      <c r="C123" s="31" t="str">
        <f>_xlfn.IFNA(IF($A123&lt;&gt;"",VLOOKUP($A123,Protocolos!$A$6:$G$9997,7,FALSE),""),"Não localizado")</f>
        <v/>
      </c>
      <c r="D123" s="31" t="str">
        <f>_xlfn.IFNA(IF($A123&lt;&gt;"",VLOOKUP($A123,Protocolos!$A$6:$G$9997,6,FALSE),""),"Não localizado")</f>
        <v/>
      </c>
    </row>
    <row r="124" spans="1:4" x14ac:dyDescent="0.25">
      <c r="A124" s="32"/>
      <c r="B124" s="26" t="str">
        <f>_xlfn.IFNA(IF($A124&lt;&gt;"",VLOOKUP($A124,Protocolos!$A$6:$G$9997,2,FALSE),""),"Não localizado")</f>
        <v/>
      </c>
      <c r="C124" s="31" t="str">
        <f>_xlfn.IFNA(IF($A124&lt;&gt;"",VLOOKUP($A124,Protocolos!$A$6:$G$9997,7,FALSE),""),"Não localizado")</f>
        <v/>
      </c>
      <c r="D124" s="31" t="str">
        <f>_xlfn.IFNA(IF($A124&lt;&gt;"",VLOOKUP($A124,Protocolos!$A$6:$G$9997,6,FALSE),""),"Não localizado")</f>
        <v/>
      </c>
    </row>
    <row r="125" spans="1:4" x14ac:dyDescent="0.25">
      <c r="A125" s="32"/>
      <c r="B125" s="26" t="str">
        <f>_xlfn.IFNA(IF($A125&lt;&gt;"",VLOOKUP($A125,Protocolos!$A$6:$G$9997,2,FALSE),""),"Não localizado")</f>
        <v/>
      </c>
      <c r="C125" s="31" t="str">
        <f>_xlfn.IFNA(IF($A125&lt;&gt;"",VLOOKUP($A125,Protocolos!$A$6:$G$9997,7,FALSE),""),"Não localizado")</f>
        <v/>
      </c>
      <c r="D125" s="31" t="str">
        <f>_xlfn.IFNA(IF($A125&lt;&gt;"",VLOOKUP($A125,Protocolos!$A$6:$G$9997,6,FALSE),""),"Não localizado")</f>
        <v/>
      </c>
    </row>
    <row r="126" spans="1:4" x14ac:dyDescent="0.25">
      <c r="A126" s="32"/>
      <c r="B126" s="26" t="str">
        <f>_xlfn.IFNA(IF($A126&lt;&gt;"",VLOOKUP($A126,Protocolos!$A$6:$G$9997,2,FALSE),""),"Não localizado")</f>
        <v/>
      </c>
      <c r="C126" s="31" t="str">
        <f>_xlfn.IFNA(IF($A126&lt;&gt;"",VLOOKUP($A126,Protocolos!$A$6:$G$9997,7,FALSE),""),"Não localizado")</f>
        <v/>
      </c>
      <c r="D126" s="31" t="str">
        <f>_xlfn.IFNA(IF($A126&lt;&gt;"",VLOOKUP($A126,Protocolos!$A$6:$G$9997,6,FALSE),""),"Não localizado")</f>
        <v/>
      </c>
    </row>
    <row r="127" spans="1:4" x14ac:dyDescent="0.25">
      <c r="A127" s="32"/>
      <c r="B127" s="26" t="str">
        <f>_xlfn.IFNA(IF($A127&lt;&gt;"",VLOOKUP($A127,Protocolos!$A$6:$G$9997,2,FALSE),""),"Não localizado")</f>
        <v/>
      </c>
      <c r="C127" s="31" t="str">
        <f>_xlfn.IFNA(IF($A127&lt;&gt;"",VLOOKUP($A127,Protocolos!$A$6:$G$9997,7,FALSE),""),"Não localizado")</f>
        <v/>
      </c>
      <c r="D127" s="31" t="str">
        <f>_xlfn.IFNA(IF($A127&lt;&gt;"",VLOOKUP($A127,Protocolos!$A$6:$G$9997,6,FALSE),""),"Não localizado")</f>
        <v/>
      </c>
    </row>
    <row r="128" spans="1:4" x14ac:dyDescent="0.25">
      <c r="A128" s="32"/>
      <c r="B128" s="26" t="str">
        <f>_xlfn.IFNA(IF($A128&lt;&gt;"",VLOOKUP($A128,Protocolos!$A$6:$G$9997,2,FALSE),""),"Não localizado")</f>
        <v/>
      </c>
      <c r="C128" s="31" t="str">
        <f>_xlfn.IFNA(IF($A128&lt;&gt;"",VLOOKUP($A128,Protocolos!$A$6:$G$9997,7,FALSE),""),"Não localizado")</f>
        <v/>
      </c>
      <c r="D128" s="31" t="str">
        <f>_xlfn.IFNA(IF($A128&lt;&gt;"",VLOOKUP($A128,Protocolos!$A$6:$G$9997,6,FALSE),""),"Não localizado")</f>
        <v/>
      </c>
    </row>
    <row r="129" spans="1:4" x14ac:dyDescent="0.25">
      <c r="A129" s="32"/>
      <c r="B129" s="26" t="str">
        <f>_xlfn.IFNA(IF($A129&lt;&gt;"",VLOOKUP($A129,Protocolos!$A$6:$G$9997,2,FALSE),""),"Não localizado")</f>
        <v/>
      </c>
      <c r="C129" s="31" t="str">
        <f>_xlfn.IFNA(IF($A129&lt;&gt;"",VLOOKUP($A129,Protocolos!$A$6:$G$9997,7,FALSE),""),"Não localizado")</f>
        <v/>
      </c>
      <c r="D129" s="31" t="str">
        <f>_xlfn.IFNA(IF($A129&lt;&gt;"",VLOOKUP($A129,Protocolos!$A$6:$G$9997,6,FALSE),""),"Não localizado")</f>
        <v/>
      </c>
    </row>
    <row r="130" spans="1:4" x14ac:dyDescent="0.25">
      <c r="A130" s="32"/>
      <c r="B130" s="26" t="str">
        <f>_xlfn.IFNA(IF($A130&lt;&gt;"",VLOOKUP($A130,Protocolos!$A$6:$G$9997,2,FALSE),""),"Não localizado")</f>
        <v/>
      </c>
      <c r="C130" s="31" t="str">
        <f>_xlfn.IFNA(IF($A130&lt;&gt;"",VLOOKUP($A130,Protocolos!$A$6:$G$9997,7,FALSE),""),"Não localizado")</f>
        <v/>
      </c>
      <c r="D130" s="31" t="str">
        <f>_xlfn.IFNA(IF($A130&lt;&gt;"",VLOOKUP($A130,Protocolos!$A$6:$G$9997,6,FALSE),""),"Não localizado")</f>
        <v/>
      </c>
    </row>
    <row r="131" spans="1:4" x14ac:dyDescent="0.25">
      <c r="A131" s="32"/>
      <c r="B131" s="26" t="str">
        <f>_xlfn.IFNA(IF($A131&lt;&gt;"",VLOOKUP($A131,Protocolos!$A$6:$G$9997,2,FALSE),""),"Não localizado")</f>
        <v/>
      </c>
      <c r="C131" s="31" t="str">
        <f>_xlfn.IFNA(IF($A131&lt;&gt;"",VLOOKUP($A131,Protocolos!$A$6:$G$9997,7,FALSE),""),"Não localizado")</f>
        <v/>
      </c>
      <c r="D131" s="31" t="str">
        <f>_xlfn.IFNA(IF($A131&lt;&gt;"",VLOOKUP($A131,Protocolos!$A$6:$G$9997,6,FALSE),""),"Não localizado")</f>
        <v/>
      </c>
    </row>
    <row r="132" spans="1:4" x14ac:dyDescent="0.25">
      <c r="A132" s="32"/>
      <c r="B132" s="26" t="str">
        <f>_xlfn.IFNA(IF($A132&lt;&gt;"",VLOOKUP($A132,Protocolos!$A$6:$G$9997,2,FALSE),""),"Não localizado")</f>
        <v/>
      </c>
      <c r="C132" s="31" t="str">
        <f>_xlfn.IFNA(IF($A132&lt;&gt;"",VLOOKUP($A132,Protocolos!$A$6:$G$9997,7,FALSE),""),"Não localizado")</f>
        <v/>
      </c>
      <c r="D132" s="31" t="str">
        <f>_xlfn.IFNA(IF($A132&lt;&gt;"",VLOOKUP($A132,Protocolos!$A$6:$G$9997,6,FALSE),""),"Não localizado")</f>
        <v/>
      </c>
    </row>
    <row r="133" spans="1:4" x14ac:dyDescent="0.25">
      <c r="A133" s="32"/>
      <c r="B133" s="26" t="str">
        <f>_xlfn.IFNA(IF($A133&lt;&gt;"",VLOOKUP($A133,Protocolos!$A$6:$G$9997,2,FALSE),""),"Não localizado")</f>
        <v/>
      </c>
      <c r="C133" s="31" t="str">
        <f>_xlfn.IFNA(IF($A133&lt;&gt;"",VLOOKUP($A133,Protocolos!$A$6:$G$9997,7,FALSE),""),"Não localizado")</f>
        <v/>
      </c>
      <c r="D133" s="31" t="str">
        <f>_xlfn.IFNA(IF($A133&lt;&gt;"",VLOOKUP($A133,Protocolos!$A$6:$G$9997,6,FALSE),""),"Não localizado")</f>
        <v/>
      </c>
    </row>
    <row r="134" spans="1:4" x14ac:dyDescent="0.25">
      <c r="A134" s="32"/>
      <c r="B134" s="26" t="str">
        <f>_xlfn.IFNA(IF($A134&lt;&gt;"",VLOOKUP($A134,Protocolos!$A$6:$G$9997,2,FALSE),""),"Não localizado")</f>
        <v/>
      </c>
      <c r="C134" s="31" t="str">
        <f>_xlfn.IFNA(IF($A134&lt;&gt;"",VLOOKUP($A134,Protocolos!$A$6:$G$9997,7,FALSE),""),"Não localizado")</f>
        <v/>
      </c>
      <c r="D134" s="31" t="str">
        <f>_xlfn.IFNA(IF($A134&lt;&gt;"",VLOOKUP($A134,Protocolos!$A$6:$G$9997,6,FALSE),""),"Não localizado")</f>
        <v/>
      </c>
    </row>
    <row r="135" spans="1:4" x14ac:dyDescent="0.25">
      <c r="A135" s="32"/>
      <c r="B135" s="26" t="str">
        <f>_xlfn.IFNA(IF($A135&lt;&gt;"",VLOOKUP($A135,Protocolos!$A$6:$G$9997,2,FALSE),""),"Não localizado")</f>
        <v/>
      </c>
      <c r="C135" s="31" t="str">
        <f>_xlfn.IFNA(IF($A135&lt;&gt;"",VLOOKUP($A135,Protocolos!$A$6:$G$9997,7,FALSE),""),"Não localizado")</f>
        <v/>
      </c>
      <c r="D135" s="31" t="str">
        <f>_xlfn.IFNA(IF($A135&lt;&gt;"",VLOOKUP($A135,Protocolos!$A$6:$G$9997,6,FALSE),""),"Não localizado")</f>
        <v/>
      </c>
    </row>
    <row r="136" spans="1:4" x14ac:dyDescent="0.25">
      <c r="A136" s="32"/>
      <c r="B136" s="26" t="str">
        <f>_xlfn.IFNA(IF($A136&lt;&gt;"",VLOOKUP($A136,Protocolos!$A$6:$G$9997,2,FALSE),""),"Não localizado")</f>
        <v/>
      </c>
      <c r="C136" s="31" t="str">
        <f>_xlfn.IFNA(IF($A136&lt;&gt;"",VLOOKUP($A136,Protocolos!$A$6:$G$9997,7,FALSE),""),"Não localizado")</f>
        <v/>
      </c>
      <c r="D136" s="31" t="str">
        <f>_xlfn.IFNA(IF($A136&lt;&gt;"",VLOOKUP($A136,Protocolos!$A$6:$G$9997,6,FALSE),""),"Não localizado")</f>
        <v/>
      </c>
    </row>
    <row r="137" spans="1:4" x14ac:dyDescent="0.25">
      <c r="A137" s="32"/>
      <c r="B137" s="26" t="str">
        <f>_xlfn.IFNA(IF($A137&lt;&gt;"",VLOOKUP($A137,Protocolos!$A$6:$G$9997,2,FALSE),""),"Não localizado")</f>
        <v/>
      </c>
      <c r="C137" s="31" t="str">
        <f>_xlfn.IFNA(IF($A137&lt;&gt;"",VLOOKUP($A137,Protocolos!$A$6:$G$9997,7,FALSE),""),"Não localizado")</f>
        <v/>
      </c>
      <c r="D137" s="31" t="str">
        <f>_xlfn.IFNA(IF($A137&lt;&gt;"",VLOOKUP($A137,Protocolos!$A$6:$G$9997,6,FALSE),""),"Não localizado")</f>
        <v/>
      </c>
    </row>
    <row r="138" spans="1:4" x14ac:dyDescent="0.25">
      <c r="A138" s="32"/>
      <c r="B138" s="26" t="str">
        <f>_xlfn.IFNA(IF($A138&lt;&gt;"",VLOOKUP($A138,Protocolos!$A$6:$G$9997,2,FALSE),""),"Não localizado")</f>
        <v/>
      </c>
      <c r="C138" s="31" t="str">
        <f>_xlfn.IFNA(IF($A138&lt;&gt;"",VLOOKUP($A138,Protocolos!$A$6:$G$9997,7,FALSE),""),"Não localizado")</f>
        <v/>
      </c>
      <c r="D138" s="31" t="str">
        <f>_xlfn.IFNA(IF($A138&lt;&gt;"",VLOOKUP($A138,Protocolos!$A$6:$G$9997,6,FALSE),""),"Não localizado")</f>
        <v/>
      </c>
    </row>
    <row r="139" spans="1:4" x14ac:dyDescent="0.25">
      <c r="A139" s="32"/>
      <c r="B139" s="26" t="str">
        <f>_xlfn.IFNA(IF($A139&lt;&gt;"",VLOOKUP($A139,Protocolos!$A$6:$G$9997,2,FALSE),""),"Não localizado")</f>
        <v/>
      </c>
      <c r="C139" s="31" t="str">
        <f>_xlfn.IFNA(IF($A139&lt;&gt;"",VLOOKUP($A139,Protocolos!$A$6:$G$9997,7,FALSE),""),"Não localizado")</f>
        <v/>
      </c>
      <c r="D139" s="31" t="str">
        <f>_xlfn.IFNA(IF($A139&lt;&gt;"",VLOOKUP($A139,Protocolos!$A$6:$G$9997,6,FALSE),""),"Não localizado")</f>
        <v/>
      </c>
    </row>
    <row r="140" spans="1:4" x14ac:dyDescent="0.25">
      <c r="A140" s="32"/>
      <c r="B140" s="26" t="str">
        <f>_xlfn.IFNA(IF($A140&lt;&gt;"",VLOOKUP($A140,Protocolos!$A$6:$G$9997,2,FALSE),""),"Não localizado")</f>
        <v/>
      </c>
      <c r="C140" s="31" t="str">
        <f>_xlfn.IFNA(IF($A140&lt;&gt;"",VLOOKUP($A140,Protocolos!$A$6:$G$9997,7,FALSE),""),"Não localizado")</f>
        <v/>
      </c>
      <c r="D140" s="31" t="str">
        <f>_xlfn.IFNA(IF($A140&lt;&gt;"",VLOOKUP($A140,Protocolos!$A$6:$G$9997,6,FALSE),""),"Não localizado")</f>
        <v/>
      </c>
    </row>
    <row r="141" spans="1:4" x14ac:dyDescent="0.25">
      <c r="A141" s="32"/>
      <c r="B141" s="26" t="str">
        <f>_xlfn.IFNA(IF($A141&lt;&gt;"",VLOOKUP($A141,Protocolos!$A$6:$G$9997,2,FALSE),""),"Não localizado")</f>
        <v/>
      </c>
      <c r="C141" s="31" t="str">
        <f>_xlfn.IFNA(IF($A141&lt;&gt;"",VLOOKUP($A141,Protocolos!$A$6:$G$9997,7,FALSE),""),"Não localizado")</f>
        <v/>
      </c>
      <c r="D141" s="31" t="str">
        <f>_xlfn.IFNA(IF($A141&lt;&gt;"",VLOOKUP($A141,Protocolos!$A$6:$G$9997,6,FALSE),""),"Não localizado")</f>
        <v/>
      </c>
    </row>
    <row r="142" spans="1:4" x14ac:dyDescent="0.25">
      <c r="A142" s="32"/>
      <c r="B142" s="26" t="str">
        <f>_xlfn.IFNA(IF($A142&lt;&gt;"",VLOOKUP($A142,Protocolos!$A$6:$G$9997,2,FALSE),""),"Não localizado")</f>
        <v/>
      </c>
      <c r="C142" s="31" t="str">
        <f>_xlfn.IFNA(IF($A142&lt;&gt;"",VLOOKUP($A142,Protocolos!$A$6:$G$9997,7,FALSE),""),"Não localizado")</f>
        <v/>
      </c>
      <c r="D142" s="31" t="str">
        <f>_xlfn.IFNA(IF($A142&lt;&gt;"",VLOOKUP($A142,Protocolos!$A$6:$G$9997,6,FALSE),""),"Não localizado")</f>
        <v/>
      </c>
    </row>
    <row r="143" spans="1:4" x14ac:dyDescent="0.25">
      <c r="A143" s="32"/>
      <c r="B143" s="26" t="str">
        <f>_xlfn.IFNA(IF($A143&lt;&gt;"",VLOOKUP($A143,Protocolos!$A$6:$G$9997,2,FALSE),""),"Não localizado")</f>
        <v/>
      </c>
      <c r="C143" s="31" t="str">
        <f>_xlfn.IFNA(IF($A143&lt;&gt;"",VLOOKUP($A143,Protocolos!$A$6:$G$9997,7,FALSE),""),"Não localizado")</f>
        <v/>
      </c>
      <c r="D143" s="31" t="str">
        <f>_xlfn.IFNA(IF($A143&lt;&gt;"",VLOOKUP($A143,Protocolos!$A$6:$G$9997,6,FALSE),""),"Não localizado")</f>
        <v/>
      </c>
    </row>
    <row r="144" spans="1:4" x14ac:dyDescent="0.25">
      <c r="A144" s="32"/>
      <c r="B144" s="26" t="str">
        <f>_xlfn.IFNA(IF($A144&lt;&gt;"",VLOOKUP($A144,Protocolos!$A$6:$G$9997,2,FALSE),""),"Não localizado")</f>
        <v/>
      </c>
      <c r="C144" s="31" t="str">
        <f>_xlfn.IFNA(IF($A144&lt;&gt;"",VLOOKUP($A144,Protocolos!$A$6:$G$9997,7,FALSE),""),"Não localizado")</f>
        <v/>
      </c>
      <c r="D144" s="31" t="str">
        <f>_xlfn.IFNA(IF($A144&lt;&gt;"",VLOOKUP($A144,Protocolos!$A$6:$G$9997,6,FALSE),""),"Não localizado")</f>
        <v/>
      </c>
    </row>
    <row r="145" spans="1:4" x14ac:dyDescent="0.25">
      <c r="A145" s="32"/>
      <c r="B145" s="26" t="str">
        <f>_xlfn.IFNA(IF($A145&lt;&gt;"",VLOOKUP($A145,Protocolos!$A$6:$G$9997,2,FALSE),""),"Não localizado")</f>
        <v/>
      </c>
      <c r="C145" s="31" t="str">
        <f>_xlfn.IFNA(IF($A145&lt;&gt;"",VLOOKUP($A145,Protocolos!$A$6:$G$9997,7,FALSE),""),"Não localizado")</f>
        <v/>
      </c>
      <c r="D145" s="31" t="str">
        <f>_xlfn.IFNA(IF($A145&lt;&gt;"",VLOOKUP($A145,Protocolos!$A$6:$G$9997,6,FALSE),""),"Não localizado")</f>
        <v/>
      </c>
    </row>
    <row r="146" spans="1:4" x14ac:dyDescent="0.25">
      <c r="A146" s="32"/>
      <c r="B146" s="26" t="str">
        <f>_xlfn.IFNA(IF($A146&lt;&gt;"",VLOOKUP($A146,Protocolos!$A$6:$G$9997,2,FALSE),""),"Não localizado")</f>
        <v/>
      </c>
      <c r="C146" s="31" t="str">
        <f>_xlfn.IFNA(IF($A146&lt;&gt;"",VLOOKUP($A146,Protocolos!$A$6:$G$9997,7,FALSE),""),"Não localizado")</f>
        <v/>
      </c>
      <c r="D146" s="31" t="str">
        <f>_xlfn.IFNA(IF($A146&lt;&gt;"",VLOOKUP($A146,Protocolos!$A$6:$G$9997,6,FALSE),""),"Não localizado")</f>
        <v/>
      </c>
    </row>
    <row r="147" spans="1:4" x14ac:dyDescent="0.25">
      <c r="A147" s="32"/>
      <c r="B147" s="26" t="str">
        <f>_xlfn.IFNA(IF($A147&lt;&gt;"",VLOOKUP($A147,Protocolos!$A$6:$G$9997,2,FALSE),""),"Não localizado")</f>
        <v/>
      </c>
      <c r="C147" s="31" t="str">
        <f>_xlfn.IFNA(IF($A147&lt;&gt;"",VLOOKUP($A147,Protocolos!$A$6:$G$9997,7,FALSE),""),"Não localizado")</f>
        <v/>
      </c>
      <c r="D147" s="31" t="str">
        <f>_xlfn.IFNA(IF($A147&lt;&gt;"",VLOOKUP($A147,Protocolos!$A$6:$G$9997,6,FALSE),""),"Não localizado")</f>
        <v/>
      </c>
    </row>
    <row r="148" spans="1:4" x14ac:dyDescent="0.25">
      <c r="A148" s="32"/>
      <c r="B148" s="26" t="str">
        <f>_xlfn.IFNA(IF($A148&lt;&gt;"",VLOOKUP($A148,Protocolos!$A$6:$G$9997,2,FALSE),""),"Não localizado")</f>
        <v/>
      </c>
      <c r="C148" s="31" t="str">
        <f>_xlfn.IFNA(IF($A148&lt;&gt;"",VLOOKUP($A148,Protocolos!$A$6:$G$9997,7,FALSE),""),"Não localizado")</f>
        <v/>
      </c>
      <c r="D148" s="31" t="str">
        <f>_xlfn.IFNA(IF($A148&lt;&gt;"",VLOOKUP($A148,Protocolos!$A$6:$G$9997,6,FALSE),""),"Não localizado")</f>
        <v/>
      </c>
    </row>
    <row r="149" spans="1:4" x14ac:dyDescent="0.25">
      <c r="A149" s="32"/>
      <c r="B149" s="26" t="str">
        <f>_xlfn.IFNA(IF($A149&lt;&gt;"",VLOOKUP($A149,Protocolos!$A$6:$G$9997,2,FALSE),""),"Não localizado")</f>
        <v/>
      </c>
      <c r="C149" s="31" t="str">
        <f>_xlfn.IFNA(IF($A149&lt;&gt;"",VLOOKUP($A149,Protocolos!$A$6:$G$9997,7,FALSE),""),"Não localizado")</f>
        <v/>
      </c>
      <c r="D149" s="31" t="str">
        <f>_xlfn.IFNA(IF($A149&lt;&gt;"",VLOOKUP($A149,Protocolos!$A$6:$G$9997,6,FALSE),""),"Não localizado")</f>
        <v/>
      </c>
    </row>
    <row r="150" spans="1:4" x14ac:dyDescent="0.25">
      <c r="A150" s="32"/>
      <c r="B150" s="26" t="str">
        <f>_xlfn.IFNA(IF($A150&lt;&gt;"",VLOOKUP($A150,Protocolos!$A$6:$G$9997,2,FALSE),""),"Não localizado")</f>
        <v/>
      </c>
      <c r="C150" s="31" t="str">
        <f>_xlfn.IFNA(IF($A150&lt;&gt;"",VLOOKUP($A150,Protocolos!$A$6:$G$9997,7,FALSE),""),"Não localizado")</f>
        <v/>
      </c>
      <c r="D150" s="31" t="str">
        <f>_xlfn.IFNA(IF($A150&lt;&gt;"",VLOOKUP($A150,Protocolos!$A$6:$G$9997,6,FALSE),""),"Não localizado")</f>
        <v/>
      </c>
    </row>
    <row r="151" spans="1:4" x14ac:dyDescent="0.25">
      <c r="A151" s="32"/>
      <c r="B151" s="26" t="str">
        <f>_xlfn.IFNA(IF($A151&lt;&gt;"",VLOOKUP($A151,Protocolos!$A$6:$G$9997,2,FALSE),""),"Não localizado")</f>
        <v/>
      </c>
      <c r="C151" s="31" t="str">
        <f>_xlfn.IFNA(IF($A151&lt;&gt;"",VLOOKUP($A151,Protocolos!$A$6:$G$9997,7,FALSE),""),"Não localizado")</f>
        <v/>
      </c>
      <c r="D151" s="31" t="str">
        <f>_xlfn.IFNA(IF($A151&lt;&gt;"",VLOOKUP($A151,Protocolos!$A$6:$G$9997,6,FALSE),""),"Não localizado")</f>
        <v/>
      </c>
    </row>
    <row r="152" spans="1:4" x14ac:dyDescent="0.25">
      <c r="A152" s="32"/>
      <c r="B152" s="26" t="str">
        <f>_xlfn.IFNA(IF($A152&lt;&gt;"",VLOOKUP($A152,Protocolos!$A$6:$G$9997,2,FALSE),""),"Não localizado")</f>
        <v/>
      </c>
      <c r="C152" s="31" t="str">
        <f>_xlfn.IFNA(IF($A152&lt;&gt;"",VLOOKUP($A152,Protocolos!$A$6:$G$9997,7,FALSE),""),"Não localizado")</f>
        <v/>
      </c>
      <c r="D152" s="31" t="str">
        <f>_xlfn.IFNA(IF($A152&lt;&gt;"",VLOOKUP($A152,Protocolos!$A$6:$G$9997,6,FALSE),""),"Não localizado")</f>
        <v/>
      </c>
    </row>
    <row r="153" spans="1:4" x14ac:dyDescent="0.25">
      <c r="A153" s="32"/>
      <c r="B153" s="26" t="str">
        <f>_xlfn.IFNA(IF($A153&lt;&gt;"",VLOOKUP($A153,Protocolos!$A$6:$G$9997,2,FALSE),""),"Não localizado")</f>
        <v/>
      </c>
      <c r="C153" s="31" t="str">
        <f>_xlfn.IFNA(IF($A153&lt;&gt;"",VLOOKUP($A153,Protocolos!$A$6:$G$9997,7,FALSE),""),"Não localizado")</f>
        <v/>
      </c>
      <c r="D153" s="31" t="str">
        <f>_xlfn.IFNA(IF($A153&lt;&gt;"",VLOOKUP($A153,Protocolos!$A$6:$G$9997,6,FALSE),""),"Não localizado")</f>
        <v/>
      </c>
    </row>
    <row r="154" spans="1:4" x14ac:dyDescent="0.25">
      <c r="A154" s="32"/>
      <c r="B154" s="26" t="str">
        <f>_xlfn.IFNA(IF($A154&lt;&gt;"",VLOOKUP($A154,Protocolos!$A$6:$G$9997,2,FALSE),""),"Não localizado")</f>
        <v/>
      </c>
      <c r="C154" s="31" t="str">
        <f>_xlfn.IFNA(IF($A154&lt;&gt;"",VLOOKUP($A154,Protocolos!$A$6:$G$9997,7,FALSE),""),"Não localizado")</f>
        <v/>
      </c>
      <c r="D154" s="31" t="str">
        <f>_xlfn.IFNA(IF($A154&lt;&gt;"",VLOOKUP($A154,Protocolos!$A$6:$G$9997,6,FALSE),""),"Não localizado")</f>
        <v/>
      </c>
    </row>
    <row r="155" spans="1:4" x14ac:dyDescent="0.25">
      <c r="A155" s="32"/>
      <c r="B155" s="26" t="str">
        <f>_xlfn.IFNA(IF($A155&lt;&gt;"",VLOOKUP($A155,Protocolos!$A$6:$G$9997,2,FALSE),""),"Não localizado")</f>
        <v/>
      </c>
      <c r="C155" s="31" t="str">
        <f>_xlfn.IFNA(IF($A155&lt;&gt;"",VLOOKUP($A155,Protocolos!$A$6:$G$9997,7,FALSE),""),"Não localizado")</f>
        <v/>
      </c>
      <c r="D155" s="31" t="str">
        <f>_xlfn.IFNA(IF($A155&lt;&gt;"",VLOOKUP($A155,Protocolos!$A$6:$G$9997,6,FALSE),""),"Não localizado")</f>
        <v/>
      </c>
    </row>
    <row r="156" spans="1:4" x14ac:dyDescent="0.25">
      <c r="A156" s="32"/>
      <c r="B156" s="26" t="str">
        <f>_xlfn.IFNA(IF($A156&lt;&gt;"",VLOOKUP($A156,Protocolos!$A$6:$G$9997,2,FALSE),""),"Não localizado")</f>
        <v/>
      </c>
      <c r="C156" s="31" t="str">
        <f>_xlfn.IFNA(IF($A156&lt;&gt;"",VLOOKUP($A156,Protocolos!$A$6:$G$9997,7,FALSE),""),"Não localizado")</f>
        <v/>
      </c>
      <c r="D156" s="31" t="str">
        <f>_xlfn.IFNA(IF($A156&lt;&gt;"",VLOOKUP($A156,Protocolos!$A$6:$G$9997,6,FALSE),""),"Não localizado")</f>
        <v/>
      </c>
    </row>
    <row r="157" spans="1:4" x14ac:dyDescent="0.25">
      <c r="A157" s="32"/>
      <c r="B157" s="26" t="str">
        <f>_xlfn.IFNA(IF($A157&lt;&gt;"",VLOOKUP($A157,Protocolos!$A$6:$G$9997,2,FALSE),""),"Não localizado")</f>
        <v/>
      </c>
      <c r="C157" s="31" t="str">
        <f>_xlfn.IFNA(IF($A157&lt;&gt;"",VLOOKUP($A157,Protocolos!$A$6:$G$9997,7,FALSE),""),"Não localizado")</f>
        <v/>
      </c>
      <c r="D157" s="31" t="str">
        <f>_xlfn.IFNA(IF($A157&lt;&gt;"",VLOOKUP($A157,Protocolos!$A$6:$G$9997,6,FALSE),""),"Não localizado")</f>
        <v/>
      </c>
    </row>
    <row r="158" spans="1:4" x14ac:dyDescent="0.25">
      <c r="A158" s="32"/>
      <c r="B158" s="26" t="str">
        <f>_xlfn.IFNA(IF($A158&lt;&gt;"",VLOOKUP($A158,Protocolos!$A$6:$G$9997,2,FALSE),""),"Não localizado")</f>
        <v/>
      </c>
      <c r="C158" s="31" t="str">
        <f>_xlfn.IFNA(IF($A158&lt;&gt;"",VLOOKUP($A158,Protocolos!$A$6:$G$9997,7,FALSE),""),"Não localizado")</f>
        <v/>
      </c>
      <c r="D158" s="31" t="str">
        <f>_xlfn.IFNA(IF($A158&lt;&gt;"",VLOOKUP($A158,Protocolos!$A$6:$G$9997,6,FALSE),""),"Não localizado")</f>
        <v/>
      </c>
    </row>
    <row r="159" spans="1:4" x14ac:dyDescent="0.25">
      <c r="A159" s="32"/>
      <c r="B159" s="26" t="str">
        <f>_xlfn.IFNA(IF($A159&lt;&gt;"",VLOOKUP($A159,Protocolos!$A$6:$G$9997,2,FALSE),""),"Não localizado")</f>
        <v/>
      </c>
      <c r="C159" s="31" t="str">
        <f>_xlfn.IFNA(IF($A159&lt;&gt;"",VLOOKUP($A159,Protocolos!$A$6:$G$9997,7,FALSE),""),"Não localizado")</f>
        <v/>
      </c>
      <c r="D159" s="31" t="str">
        <f>_xlfn.IFNA(IF($A159&lt;&gt;"",VLOOKUP($A159,Protocolos!$A$6:$G$9997,6,FALSE),""),"Não localizado")</f>
        <v/>
      </c>
    </row>
    <row r="160" spans="1:4" x14ac:dyDescent="0.25">
      <c r="A160" s="32"/>
      <c r="B160" s="26" t="str">
        <f>_xlfn.IFNA(IF($A160&lt;&gt;"",VLOOKUP($A160,Protocolos!$A$6:$G$9997,2,FALSE),""),"Não localizado")</f>
        <v/>
      </c>
      <c r="C160" s="31" t="str">
        <f>_xlfn.IFNA(IF($A160&lt;&gt;"",VLOOKUP($A160,Protocolos!$A$6:$G$9997,7,FALSE),""),"Não localizado")</f>
        <v/>
      </c>
      <c r="D160" s="31" t="str">
        <f>_xlfn.IFNA(IF($A160&lt;&gt;"",VLOOKUP($A160,Protocolos!$A$6:$G$9997,6,FALSE),""),"Não localizado")</f>
        <v/>
      </c>
    </row>
    <row r="161" spans="1:4" x14ac:dyDescent="0.25">
      <c r="A161" s="32"/>
      <c r="B161" s="26" t="str">
        <f>_xlfn.IFNA(IF($A161&lt;&gt;"",VLOOKUP($A161,Protocolos!$A$6:$G$9997,2,FALSE),""),"Não localizado")</f>
        <v/>
      </c>
      <c r="C161" s="31" t="str">
        <f>_xlfn.IFNA(IF($A161&lt;&gt;"",VLOOKUP($A161,Protocolos!$A$6:$G$9997,7,FALSE),""),"Não localizado")</f>
        <v/>
      </c>
      <c r="D161" s="31" t="str">
        <f>_xlfn.IFNA(IF($A161&lt;&gt;"",VLOOKUP($A161,Protocolos!$A$6:$G$9997,6,FALSE),""),"Não localizado")</f>
        <v/>
      </c>
    </row>
    <row r="162" spans="1:4" x14ac:dyDescent="0.25">
      <c r="A162" s="32"/>
      <c r="B162" s="26" t="str">
        <f>_xlfn.IFNA(IF($A162&lt;&gt;"",VLOOKUP($A162,Protocolos!$A$6:$G$9997,2,FALSE),""),"Não localizado")</f>
        <v/>
      </c>
      <c r="C162" s="31" t="str">
        <f>_xlfn.IFNA(IF($A162&lt;&gt;"",VLOOKUP($A162,Protocolos!$A$6:$G$9997,7,FALSE),""),"Não localizado")</f>
        <v/>
      </c>
      <c r="D162" s="31" t="str">
        <f>_xlfn.IFNA(IF($A162&lt;&gt;"",VLOOKUP($A162,Protocolos!$A$6:$G$9997,6,FALSE),""),"Não localizado")</f>
        <v/>
      </c>
    </row>
    <row r="163" spans="1:4" x14ac:dyDescent="0.25">
      <c r="A163" s="32"/>
      <c r="B163" s="26" t="str">
        <f>_xlfn.IFNA(IF($A163&lt;&gt;"",VLOOKUP($A163,Protocolos!$A$6:$G$9997,2,FALSE),""),"Não localizado")</f>
        <v/>
      </c>
      <c r="C163" s="31" t="str">
        <f>_xlfn.IFNA(IF($A163&lt;&gt;"",VLOOKUP($A163,Protocolos!$A$6:$G$9997,7,FALSE),""),"Não localizado")</f>
        <v/>
      </c>
      <c r="D163" s="31" t="str">
        <f>_xlfn.IFNA(IF($A163&lt;&gt;"",VLOOKUP($A163,Protocolos!$A$6:$G$9997,6,FALSE),""),"Não localizado")</f>
        <v/>
      </c>
    </row>
    <row r="164" spans="1:4" x14ac:dyDescent="0.25">
      <c r="A164" s="32"/>
      <c r="B164" s="26" t="str">
        <f>_xlfn.IFNA(IF($A164&lt;&gt;"",VLOOKUP($A164,Protocolos!$A$6:$G$9997,2,FALSE),""),"Não localizado")</f>
        <v/>
      </c>
      <c r="C164" s="31" t="str">
        <f>_xlfn.IFNA(IF($A164&lt;&gt;"",VLOOKUP($A164,Protocolos!$A$6:$G$9997,7,FALSE),""),"Não localizado")</f>
        <v/>
      </c>
      <c r="D164" s="31" t="str">
        <f>_xlfn.IFNA(IF($A164&lt;&gt;"",VLOOKUP($A164,Protocolos!$A$6:$G$9997,6,FALSE),""),"Não localizado")</f>
        <v/>
      </c>
    </row>
    <row r="165" spans="1:4" x14ac:dyDescent="0.25">
      <c r="A165" s="32"/>
      <c r="B165" s="26" t="str">
        <f>_xlfn.IFNA(IF($A165&lt;&gt;"",VLOOKUP($A165,Protocolos!$A$6:$G$9997,2,FALSE),""),"Não localizado")</f>
        <v/>
      </c>
      <c r="C165" s="31" t="str">
        <f>_xlfn.IFNA(IF($A165&lt;&gt;"",VLOOKUP($A165,Protocolos!$A$6:$G$9997,7,FALSE),""),"Não localizado")</f>
        <v/>
      </c>
      <c r="D165" s="31" t="str">
        <f>_xlfn.IFNA(IF($A165&lt;&gt;"",VLOOKUP($A165,Protocolos!$A$6:$G$9997,6,FALSE),""),"Não localizado")</f>
        <v/>
      </c>
    </row>
    <row r="166" spans="1:4" x14ac:dyDescent="0.25">
      <c r="A166" s="32"/>
      <c r="B166" s="26" t="str">
        <f>_xlfn.IFNA(IF($A166&lt;&gt;"",VLOOKUP($A166,Protocolos!$A$6:$G$9997,2,FALSE),""),"Não localizado")</f>
        <v/>
      </c>
      <c r="C166" s="31" t="str">
        <f>_xlfn.IFNA(IF($A166&lt;&gt;"",VLOOKUP($A166,Protocolos!$A$6:$G$9997,7,FALSE),""),"Não localizado")</f>
        <v/>
      </c>
      <c r="D166" s="31" t="str">
        <f>_xlfn.IFNA(IF($A166&lt;&gt;"",VLOOKUP($A166,Protocolos!$A$6:$G$9997,6,FALSE),""),"Não localizado")</f>
        <v/>
      </c>
    </row>
    <row r="167" spans="1:4" x14ac:dyDescent="0.25">
      <c r="A167" s="32"/>
      <c r="B167" s="26" t="str">
        <f>_xlfn.IFNA(IF($A167&lt;&gt;"",VLOOKUP($A167,Protocolos!$A$6:$G$9997,2,FALSE),""),"Não localizado")</f>
        <v/>
      </c>
      <c r="C167" s="31" t="str">
        <f>_xlfn.IFNA(IF($A167&lt;&gt;"",VLOOKUP($A167,Protocolos!$A$6:$G$9997,7,FALSE),""),"Não localizado")</f>
        <v/>
      </c>
      <c r="D167" s="31" t="str">
        <f>_xlfn.IFNA(IF($A167&lt;&gt;"",VLOOKUP($A167,Protocolos!$A$6:$G$9997,6,FALSE),""),"Não localizado")</f>
        <v/>
      </c>
    </row>
    <row r="168" spans="1:4" x14ac:dyDescent="0.25">
      <c r="A168" s="32"/>
      <c r="B168" s="26" t="str">
        <f>_xlfn.IFNA(IF($A168&lt;&gt;"",VLOOKUP($A168,Protocolos!$A$6:$G$9997,2,FALSE),""),"Não localizado")</f>
        <v/>
      </c>
      <c r="C168" s="31" t="str">
        <f>_xlfn.IFNA(IF($A168&lt;&gt;"",VLOOKUP($A168,Protocolos!$A$6:$G$9997,7,FALSE),""),"Não localizado")</f>
        <v/>
      </c>
      <c r="D168" s="31" t="str">
        <f>_xlfn.IFNA(IF($A168&lt;&gt;"",VLOOKUP($A168,Protocolos!$A$6:$G$9997,6,FALSE),""),"Não localizado")</f>
        <v/>
      </c>
    </row>
    <row r="169" spans="1:4" x14ac:dyDescent="0.25">
      <c r="A169" s="32"/>
      <c r="B169" s="26" t="str">
        <f>_xlfn.IFNA(IF($A169&lt;&gt;"",VLOOKUP($A169,Protocolos!$A$6:$G$9997,2,FALSE),""),"Não localizado")</f>
        <v/>
      </c>
      <c r="C169" s="31" t="str">
        <f>_xlfn.IFNA(IF($A169&lt;&gt;"",VLOOKUP($A169,Protocolos!$A$6:$G$9997,7,FALSE),""),"Não localizado")</f>
        <v/>
      </c>
      <c r="D169" s="31" t="str">
        <f>_xlfn.IFNA(IF($A169&lt;&gt;"",VLOOKUP($A169,Protocolos!$A$6:$G$9997,6,FALSE),""),"Não localizado")</f>
        <v/>
      </c>
    </row>
    <row r="170" spans="1:4" x14ac:dyDescent="0.25">
      <c r="A170" s="32"/>
      <c r="B170" s="26" t="str">
        <f>_xlfn.IFNA(IF($A170&lt;&gt;"",VLOOKUP($A170,Protocolos!$A$6:$G$9997,2,FALSE),""),"Não localizado")</f>
        <v/>
      </c>
      <c r="C170" s="31" t="str">
        <f>_xlfn.IFNA(IF($A170&lt;&gt;"",VLOOKUP($A170,Protocolos!$A$6:$G$9997,7,FALSE),""),"Não localizado")</f>
        <v/>
      </c>
      <c r="D170" s="31" t="str">
        <f>_xlfn.IFNA(IF($A170&lt;&gt;"",VLOOKUP($A170,Protocolos!$A$6:$G$9997,6,FALSE),""),"Não localizado")</f>
        <v/>
      </c>
    </row>
    <row r="171" spans="1:4" x14ac:dyDescent="0.25">
      <c r="A171" s="32"/>
      <c r="B171" s="26" t="str">
        <f>_xlfn.IFNA(IF($A171&lt;&gt;"",VLOOKUP($A171,Protocolos!$A$6:$G$9997,2,FALSE),""),"Não localizado")</f>
        <v/>
      </c>
      <c r="C171" s="31" t="str">
        <f>_xlfn.IFNA(IF($A171&lt;&gt;"",VLOOKUP($A171,Protocolos!$A$6:$G$9997,7,FALSE),""),"Não localizado")</f>
        <v/>
      </c>
      <c r="D171" s="31" t="str">
        <f>_xlfn.IFNA(IF($A171&lt;&gt;"",VLOOKUP($A171,Protocolos!$A$6:$G$9997,6,FALSE),""),"Não localizado")</f>
        <v/>
      </c>
    </row>
    <row r="172" spans="1:4" x14ac:dyDescent="0.25">
      <c r="A172" s="32"/>
      <c r="B172" s="26" t="str">
        <f>_xlfn.IFNA(IF($A172&lt;&gt;"",VLOOKUP($A172,Protocolos!$A$6:$G$9997,2,FALSE),""),"Não localizado")</f>
        <v/>
      </c>
      <c r="C172" s="31" t="str">
        <f>_xlfn.IFNA(IF($A172&lt;&gt;"",VLOOKUP($A172,Protocolos!$A$6:$G$9997,7,FALSE),""),"Não localizado")</f>
        <v/>
      </c>
      <c r="D172" s="31" t="str">
        <f>_xlfn.IFNA(IF($A172&lt;&gt;"",VLOOKUP($A172,Protocolos!$A$6:$G$9997,6,FALSE),""),"Não localizado")</f>
        <v/>
      </c>
    </row>
    <row r="173" spans="1:4" x14ac:dyDescent="0.25">
      <c r="A173" s="32"/>
      <c r="B173" s="26" t="str">
        <f>_xlfn.IFNA(IF($A173&lt;&gt;"",VLOOKUP($A173,Protocolos!$A$6:$G$9997,2,FALSE),""),"Não localizado")</f>
        <v/>
      </c>
      <c r="C173" s="31" t="str">
        <f>_xlfn.IFNA(IF($A173&lt;&gt;"",VLOOKUP($A173,Protocolos!$A$6:$G$9997,7,FALSE),""),"Não localizado")</f>
        <v/>
      </c>
      <c r="D173" s="31" t="str">
        <f>_xlfn.IFNA(IF($A173&lt;&gt;"",VLOOKUP($A173,Protocolos!$A$6:$G$9997,6,FALSE),""),"Não localizado")</f>
        <v/>
      </c>
    </row>
    <row r="174" spans="1:4" x14ac:dyDescent="0.25">
      <c r="A174" s="32"/>
      <c r="B174" s="26" t="str">
        <f>_xlfn.IFNA(IF($A174&lt;&gt;"",VLOOKUP($A174,Protocolos!$A$6:$G$9997,2,FALSE),""),"Não localizado")</f>
        <v/>
      </c>
      <c r="C174" s="31" t="str">
        <f>_xlfn.IFNA(IF($A174&lt;&gt;"",VLOOKUP($A174,Protocolos!$A$6:$G$9997,7,FALSE),""),"Não localizado")</f>
        <v/>
      </c>
      <c r="D174" s="31" t="str">
        <f>_xlfn.IFNA(IF($A174&lt;&gt;"",VLOOKUP($A174,Protocolos!$A$6:$G$9997,6,FALSE),""),"Não localizado")</f>
        <v/>
      </c>
    </row>
    <row r="175" spans="1:4" x14ac:dyDescent="0.25">
      <c r="A175" s="32"/>
      <c r="B175" s="26" t="str">
        <f>_xlfn.IFNA(IF($A175&lt;&gt;"",VLOOKUP($A175,Protocolos!$A$6:$G$9997,2,FALSE),""),"Não localizado")</f>
        <v/>
      </c>
      <c r="C175" s="31" t="str">
        <f>_xlfn.IFNA(IF($A175&lt;&gt;"",VLOOKUP($A175,Protocolos!$A$6:$G$9997,7,FALSE),""),"Não localizado")</f>
        <v/>
      </c>
      <c r="D175" s="31" t="str">
        <f>_xlfn.IFNA(IF($A175&lt;&gt;"",VLOOKUP($A175,Protocolos!$A$6:$G$9997,6,FALSE),""),"Não localizado")</f>
        <v/>
      </c>
    </row>
    <row r="176" spans="1:4" x14ac:dyDescent="0.25">
      <c r="A176" s="32"/>
      <c r="B176" s="26" t="str">
        <f>_xlfn.IFNA(IF($A176&lt;&gt;"",VLOOKUP($A176,Protocolos!$A$6:$G$9997,2,FALSE),""),"Não localizado")</f>
        <v/>
      </c>
      <c r="C176" s="31" t="str">
        <f>_xlfn.IFNA(IF($A176&lt;&gt;"",VLOOKUP($A176,Protocolos!$A$6:$G$9997,7,FALSE),""),"Não localizado")</f>
        <v/>
      </c>
      <c r="D176" s="31" t="str">
        <f>_xlfn.IFNA(IF($A176&lt;&gt;"",VLOOKUP($A176,Protocolos!$A$6:$G$9997,6,FALSE),""),"Não localizado")</f>
        <v/>
      </c>
    </row>
    <row r="177" spans="1:4" x14ac:dyDescent="0.25">
      <c r="A177" s="32"/>
      <c r="B177" s="26" t="str">
        <f>_xlfn.IFNA(IF($A177&lt;&gt;"",VLOOKUP($A177,Protocolos!$A$6:$G$9997,2,FALSE),""),"Não localizado")</f>
        <v/>
      </c>
      <c r="C177" s="31" t="str">
        <f>_xlfn.IFNA(IF($A177&lt;&gt;"",VLOOKUP($A177,Protocolos!$A$6:$G$9997,7,FALSE),""),"Não localizado")</f>
        <v/>
      </c>
      <c r="D177" s="31" t="str">
        <f>_xlfn.IFNA(IF($A177&lt;&gt;"",VLOOKUP($A177,Protocolos!$A$6:$G$9997,6,FALSE),""),"Não localizado")</f>
        <v/>
      </c>
    </row>
    <row r="178" spans="1:4" x14ac:dyDescent="0.25">
      <c r="A178" s="32"/>
      <c r="B178" s="26" t="str">
        <f>_xlfn.IFNA(IF($A178&lt;&gt;"",VLOOKUP($A178,Protocolos!$A$6:$G$9997,2,FALSE),""),"Não localizado")</f>
        <v/>
      </c>
      <c r="C178" s="31" t="str">
        <f>_xlfn.IFNA(IF($A178&lt;&gt;"",VLOOKUP($A178,Protocolos!$A$6:$G$9997,7,FALSE),""),"Não localizado")</f>
        <v/>
      </c>
      <c r="D178" s="31" t="str">
        <f>_xlfn.IFNA(IF($A178&lt;&gt;"",VLOOKUP($A178,Protocolos!$A$6:$G$9997,6,FALSE),""),"Não localizado")</f>
        <v/>
      </c>
    </row>
    <row r="179" spans="1:4" x14ac:dyDescent="0.25">
      <c r="A179" s="32"/>
      <c r="B179" s="26" t="str">
        <f>_xlfn.IFNA(IF($A179&lt;&gt;"",VLOOKUP($A179,Protocolos!$A$6:$G$9997,2,FALSE),""),"Não localizado")</f>
        <v/>
      </c>
      <c r="C179" s="31" t="str">
        <f>_xlfn.IFNA(IF($A179&lt;&gt;"",VLOOKUP($A179,Protocolos!$A$6:$G$9997,7,FALSE),""),"Não localizado")</f>
        <v/>
      </c>
      <c r="D179" s="31" t="str">
        <f>_xlfn.IFNA(IF($A179&lt;&gt;"",VLOOKUP($A179,Protocolos!$A$6:$G$9997,6,FALSE),""),"Não localizado")</f>
        <v/>
      </c>
    </row>
    <row r="180" spans="1:4" x14ac:dyDescent="0.25">
      <c r="A180" s="32"/>
      <c r="B180" s="26" t="str">
        <f>_xlfn.IFNA(IF($A180&lt;&gt;"",VLOOKUP($A180,Protocolos!$A$6:$G$9997,2,FALSE),""),"Não localizado")</f>
        <v/>
      </c>
      <c r="C180" s="31" t="str">
        <f>_xlfn.IFNA(IF($A180&lt;&gt;"",VLOOKUP($A180,Protocolos!$A$6:$G$9997,7,FALSE),""),"Não localizado")</f>
        <v/>
      </c>
      <c r="D180" s="31" t="str">
        <f>_xlfn.IFNA(IF($A180&lt;&gt;"",VLOOKUP($A180,Protocolos!$A$6:$G$9997,6,FALSE),""),"Não localizado")</f>
        <v/>
      </c>
    </row>
    <row r="181" spans="1:4" x14ac:dyDescent="0.25">
      <c r="A181" s="32"/>
      <c r="B181" s="26" t="str">
        <f>_xlfn.IFNA(IF($A181&lt;&gt;"",VLOOKUP($A181,Protocolos!$A$6:$G$9997,2,FALSE),""),"Não localizado")</f>
        <v/>
      </c>
      <c r="C181" s="31" t="str">
        <f>_xlfn.IFNA(IF($A181&lt;&gt;"",VLOOKUP($A181,Protocolos!$A$6:$G$9997,7,FALSE),""),"Não localizado")</f>
        <v/>
      </c>
      <c r="D181" s="31" t="str">
        <f>_xlfn.IFNA(IF($A181&lt;&gt;"",VLOOKUP($A181,Protocolos!$A$6:$G$9997,6,FALSE),""),"Não localizado")</f>
        <v/>
      </c>
    </row>
    <row r="182" spans="1:4" x14ac:dyDescent="0.25">
      <c r="A182" s="32"/>
      <c r="B182" s="26" t="str">
        <f>_xlfn.IFNA(IF($A182&lt;&gt;"",VLOOKUP($A182,Protocolos!$A$6:$G$9997,2,FALSE),""),"Não localizado")</f>
        <v/>
      </c>
      <c r="C182" s="31" t="str">
        <f>_xlfn.IFNA(IF($A182&lt;&gt;"",VLOOKUP($A182,Protocolos!$A$6:$G$9997,7,FALSE),""),"Não localizado")</f>
        <v/>
      </c>
      <c r="D182" s="31" t="str">
        <f>_xlfn.IFNA(IF($A182&lt;&gt;"",VLOOKUP($A182,Protocolos!$A$6:$G$9997,6,FALSE),""),"Não localizado")</f>
        <v/>
      </c>
    </row>
    <row r="183" spans="1:4" x14ac:dyDescent="0.25">
      <c r="A183" s="32"/>
      <c r="B183" s="26" t="str">
        <f>_xlfn.IFNA(IF($A183&lt;&gt;"",VLOOKUP($A183,Protocolos!$A$6:$G$9997,2,FALSE),""),"Não localizado")</f>
        <v/>
      </c>
      <c r="C183" s="31" t="str">
        <f>_xlfn.IFNA(IF($A183&lt;&gt;"",VLOOKUP($A183,Protocolos!$A$6:$G$9997,7,FALSE),""),"Não localizado")</f>
        <v/>
      </c>
      <c r="D183" s="31" t="str">
        <f>_xlfn.IFNA(IF($A183&lt;&gt;"",VLOOKUP($A183,Protocolos!$A$6:$G$9997,6,FALSE),""),"Não localizado")</f>
        <v/>
      </c>
    </row>
    <row r="184" spans="1:4" x14ac:dyDescent="0.25">
      <c r="A184" s="32"/>
      <c r="B184" s="26" t="str">
        <f>_xlfn.IFNA(IF($A184&lt;&gt;"",VLOOKUP($A184,Protocolos!$A$6:$G$9997,2,FALSE),""),"Não localizado")</f>
        <v/>
      </c>
      <c r="C184" s="31" t="str">
        <f>_xlfn.IFNA(IF($A184&lt;&gt;"",VLOOKUP($A184,Protocolos!$A$6:$G$9997,7,FALSE),""),"Não localizado")</f>
        <v/>
      </c>
      <c r="D184" s="31" t="str">
        <f>_xlfn.IFNA(IF($A184&lt;&gt;"",VLOOKUP($A184,Protocolos!$A$6:$G$9997,6,FALSE),""),"Não localizado")</f>
        <v/>
      </c>
    </row>
    <row r="185" spans="1:4" x14ac:dyDescent="0.25">
      <c r="A185" s="32"/>
      <c r="B185" s="26" t="str">
        <f>_xlfn.IFNA(IF($A185&lt;&gt;"",VLOOKUP($A185,Protocolos!$A$6:$G$9997,2,FALSE),""),"Não localizado")</f>
        <v/>
      </c>
      <c r="C185" s="31" t="str">
        <f>_xlfn.IFNA(IF($A185&lt;&gt;"",VLOOKUP($A185,Protocolos!$A$6:$G$9997,7,FALSE),""),"Não localizado")</f>
        <v/>
      </c>
      <c r="D185" s="31" t="str">
        <f>_xlfn.IFNA(IF($A185&lt;&gt;"",VLOOKUP($A185,Protocolos!$A$6:$G$9997,6,FALSE),""),"Não localizado")</f>
        <v/>
      </c>
    </row>
    <row r="186" spans="1:4" x14ac:dyDescent="0.25">
      <c r="A186" s="32"/>
      <c r="B186" s="26" t="str">
        <f>_xlfn.IFNA(IF($A186&lt;&gt;"",VLOOKUP($A186,Protocolos!$A$6:$G$9997,2,FALSE),""),"Não localizado")</f>
        <v/>
      </c>
      <c r="C186" s="31" t="str">
        <f>_xlfn.IFNA(IF($A186&lt;&gt;"",VLOOKUP($A186,Protocolos!$A$6:$G$9997,7,FALSE),""),"Não localizado")</f>
        <v/>
      </c>
      <c r="D186" s="31" t="str">
        <f>_xlfn.IFNA(IF($A186&lt;&gt;"",VLOOKUP($A186,Protocolos!$A$6:$G$9997,6,FALSE),""),"Não localizado")</f>
        <v/>
      </c>
    </row>
    <row r="187" spans="1:4" x14ac:dyDescent="0.25">
      <c r="A187" s="32"/>
      <c r="B187" s="26" t="str">
        <f>_xlfn.IFNA(IF($A187&lt;&gt;"",VLOOKUP($A187,Protocolos!$A$6:$G$9997,2,FALSE),""),"Não localizado")</f>
        <v/>
      </c>
      <c r="C187" s="31" t="str">
        <f>_xlfn.IFNA(IF($A187&lt;&gt;"",VLOOKUP($A187,Protocolos!$A$6:$G$9997,7,FALSE),""),"Não localizado")</f>
        <v/>
      </c>
      <c r="D187" s="31" t="str">
        <f>_xlfn.IFNA(IF($A187&lt;&gt;"",VLOOKUP($A187,Protocolos!$A$6:$G$9997,6,FALSE),""),"Não localizado")</f>
        <v/>
      </c>
    </row>
    <row r="188" spans="1:4" x14ac:dyDescent="0.25">
      <c r="A188" s="32"/>
      <c r="B188" s="26" t="str">
        <f>_xlfn.IFNA(IF($A188&lt;&gt;"",VLOOKUP($A188,Protocolos!$A$6:$G$9997,2,FALSE),""),"Não localizado")</f>
        <v/>
      </c>
      <c r="C188" s="31" t="str">
        <f>_xlfn.IFNA(IF($A188&lt;&gt;"",VLOOKUP($A188,Protocolos!$A$6:$G$9997,7,FALSE),""),"Não localizado")</f>
        <v/>
      </c>
      <c r="D188" s="31" t="str">
        <f>_xlfn.IFNA(IF($A188&lt;&gt;"",VLOOKUP($A188,Protocolos!$A$6:$G$9997,6,FALSE),""),"Não localizado")</f>
        <v/>
      </c>
    </row>
    <row r="189" spans="1:4" x14ac:dyDescent="0.25">
      <c r="A189" s="32"/>
      <c r="B189" s="26" t="str">
        <f>_xlfn.IFNA(IF($A189&lt;&gt;"",VLOOKUP($A189,Protocolos!$A$6:$G$9997,2,FALSE),""),"Não localizado")</f>
        <v/>
      </c>
      <c r="C189" s="31" t="str">
        <f>_xlfn.IFNA(IF($A189&lt;&gt;"",VLOOKUP($A189,Protocolos!$A$6:$G$9997,7,FALSE),""),"Não localizado")</f>
        <v/>
      </c>
      <c r="D189" s="31" t="str">
        <f>_xlfn.IFNA(IF($A189&lt;&gt;"",VLOOKUP($A189,Protocolos!$A$6:$G$9997,6,FALSE),""),"Não localizado")</f>
        <v/>
      </c>
    </row>
    <row r="190" spans="1:4" x14ac:dyDescent="0.25">
      <c r="A190" s="32"/>
      <c r="B190" s="26" t="str">
        <f>_xlfn.IFNA(IF($A190&lt;&gt;"",VLOOKUP($A190,Protocolos!$A$6:$G$9997,2,FALSE),""),"Não localizado")</f>
        <v/>
      </c>
      <c r="C190" s="31" t="str">
        <f>_xlfn.IFNA(IF($A190&lt;&gt;"",VLOOKUP($A190,Protocolos!$A$6:$G$9997,7,FALSE),""),"Não localizado")</f>
        <v/>
      </c>
      <c r="D190" s="31" t="str">
        <f>_xlfn.IFNA(IF($A190&lt;&gt;"",VLOOKUP($A190,Protocolos!$A$6:$G$9997,6,FALSE),""),"Não localizado")</f>
        <v/>
      </c>
    </row>
    <row r="191" spans="1:4" x14ac:dyDescent="0.25">
      <c r="A191" s="32"/>
      <c r="B191" s="26" t="str">
        <f>_xlfn.IFNA(IF($A191&lt;&gt;"",VLOOKUP($A191,Protocolos!$A$6:$G$9997,2,FALSE),""),"Não localizado")</f>
        <v/>
      </c>
      <c r="C191" s="31" t="str">
        <f>_xlfn.IFNA(IF($A191&lt;&gt;"",VLOOKUP($A191,Protocolos!$A$6:$G$9997,7,FALSE),""),"Não localizado")</f>
        <v/>
      </c>
      <c r="D191" s="31" t="str">
        <f>_xlfn.IFNA(IF($A191&lt;&gt;"",VLOOKUP($A191,Protocolos!$A$6:$G$9997,6,FALSE),""),"Não localizado")</f>
        <v/>
      </c>
    </row>
    <row r="192" spans="1:4" x14ac:dyDescent="0.25">
      <c r="A192" s="32"/>
      <c r="B192" s="26" t="str">
        <f>_xlfn.IFNA(IF($A192&lt;&gt;"",VLOOKUP($A192,Protocolos!$A$6:$G$9997,2,FALSE),""),"Não localizado")</f>
        <v/>
      </c>
      <c r="C192" s="31" t="str">
        <f>_xlfn.IFNA(IF($A192&lt;&gt;"",VLOOKUP($A192,Protocolos!$A$6:$G$9997,7,FALSE),""),"Não localizado")</f>
        <v/>
      </c>
      <c r="D192" s="31" t="str">
        <f>_xlfn.IFNA(IF($A192&lt;&gt;"",VLOOKUP($A192,Protocolos!$A$6:$G$9997,6,FALSE),""),"Não localizado")</f>
        <v/>
      </c>
    </row>
    <row r="193" spans="1:4" x14ac:dyDescent="0.25">
      <c r="A193" s="32"/>
      <c r="B193" s="26" t="str">
        <f>_xlfn.IFNA(IF($A193&lt;&gt;"",VLOOKUP($A193,Protocolos!$A$6:$G$9997,2,FALSE),""),"Não localizado")</f>
        <v/>
      </c>
      <c r="C193" s="31" t="str">
        <f>_xlfn.IFNA(IF($A193&lt;&gt;"",VLOOKUP($A193,Protocolos!$A$6:$G$9997,7,FALSE),""),"Não localizado")</f>
        <v/>
      </c>
      <c r="D193" s="31" t="str">
        <f>_xlfn.IFNA(IF($A193&lt;&gt;"",VLOOKUP($A193,Protocolos!$A$6:$G$9997,6,FALSE),""),"Não localizado")</f>
        <v/>
      </c>
    </row>
    <row r="194" spans="1:4" x14ac:dyDescent="0.25">
      <c r="A194" s="32"/>
      <c r="B194" s="26" t="str">
        <f>_xlfn.IFNA(IF($A194&lt;&gt;"",VLOOKUP($A194,Protocolos!$A$6:$G$9997,2,FALSE),""),"Não localizado")</f>
        <v/>
      </c>
      <c r="C194" s="31" t="str">
        <f>_xlfn.IFNA(IF($A194&lt;&gt;"",VLOOKUP($A194,Protocolos!$A$6:$G$9997,7,FALSE),""),"Não localizado")</f>
        <v/>
      </c>
      <c r="D194" s="31" t="str">
        <f>_xlfn.IFNA(IF($A194&lt;&gt;"",VLOOKUP($A194,Protocolos!$A$6:$G$9997,6,FALSE),""),"Não localizado")</f>
        <v/>
      </c>
    </row>
    <row r="195" spans="1:4" x14ac:dyDescent="0.25">
      <c r="A195" s="32"/>
      <c r="B195" s="26" t="str">
        <f>_xlfn.IFNA(IF($A195&lt;&gt;"",VLOOKUP($A195,Protocolos!$A$6:$G$9997,2,FALSE),""),"Não localizado")</f>
        <v/>
      </c>
      <c r="C195" s="31" t="str">
        <f>_xlfn.IFNA(IF($A195&lt;&gt;"",VLOOKUP($A195,Protocolos!$A$6:$G$9997,7,FALSE),""),"Não localizado")</f>
        <v/>
      </c>
      <c r="D195" s="31" t="str">
        <f>_xlfn.IFNA(IF($A195&lt;&gt;"",VLOOKUP($A195,Protocolos!$A$6:$G$9997,6,FALSE),""),"Não localizado")</f>
        <v/>
      </c>
    </row>
    <row r="196" spans="1:4" x14ac:dyDescent="0.25">
      <c r="A196" s="32"/>
      <c r="B196" s="26" t="str">
        <f>_xlfn.IFNA(IF($A196&lt;&gt;"",VLOOKUP($A196,Protocolos!$A$6:$G$9997,2,FALSE),""),"Não localizado")</f>
        <v/>
      </c>
      <c r="C196" s="31" t="str">
        <f>_xlfn.IFNA(IF($A196&lt;&gt;"",VLOOKUP($A196,Protocolos!$A$6:$G$9997,7,FALSE),""),"Não localizado")</f>
        <v/>
      </c>
      <c r="D196" s="31" t="str">
        <f>_xlfn.IFNA(IF($A196&lt;&gt;"",VLOOKUP($A196,Protocolos!$A$6:$G$9997,6,FALSE),""),"Não localizado")</f>
        <v/>
      </c>
    </row>
    <row r="197" spans="1:4" x14ac:dyDescent="0.25">
      <c r="A197" s="32"/>
      <c r="B197" s="26" t="str">
        <f>_xlfn.IFNA(IF($A197&lt;&gt;"",VLOOKUP($A197,Protocolos!$A$6:$G$9997,2,FALSE),""),"Não localizado")</f>
        <v/>
      </c>
      <c r="C197" s="31" t="str">
        <f>_xlfn.IFNA(IF($A197&lt;&gt;"",VLOOKUP($A197,Protocolos!$A$6:$G$9997,7,FALSE),""),"Não localizado")</f>
        <v/>
      </c>
      <c r="D197" s="31" t="str">
        <f>_xlfn.IFNA(IF($A197&lt;&gt;"",VLOOKUP($A197,Protocolos!$A$6:$G$9997,6,FALSE),""),"Não localizado")</f>
        <v/>
      </c>
    </row>
    <row r="198" spans="1:4" x14ac:dyDescent="0.25">
      <c r="A198" s="32"/>
      <c r="B198" s="26" t="str">
        <f>_xlfn.IFNA(IF($A198&lt;&gt;"",VLOOKUP($A198,Protocolos!$A$6:$G$9997,2,FALSE),""),"Não localizado")</f>
        <v/>
      </c>
      <c r="C198" s="31" t="str">
        <f>_xlfn.IFNA(IF($A198&lt;&gt;"",VLOOKUP($A198,Protocolos!$A$6:$G$9997,7,FALSE),""),"Não localizado")</f>
        <v/>
      </c>
      <c r="D198" s="31" t="str">
        <f>_xlfn.IFNA(IF($A198&lt;&gt;"",VLOOKUP($A198,Protocolos!$A$6:$G$9997,6,FALSE),""),"Não localizado")</f>
        <v/>
      </c>
    </row>
    <row r="199" spans="1:4" x14ac:dyDescent="0.25">
      <c r="A199" s="32"/>
      <c r="B199" s="26" t="str">
        <f>_xlfn.IFNA(IF($A199&lt;&gt;"",VLOOKUP($A199,Protocolos!$A$6:$G$9997,2,FALSE),""),"Não localizado")</f>
        <v/>
      </c>
      <c r="C199" s="31" t="str">
        <f>_xlfn.IFNA(IF($A199&lt;&gt;"",VLOOKUP($A199,Protocolos!$A$6:$G$9997,7,FALSE),""),"Não localizado")</f>
        <v/>
      </c>
      <c r="D199" s="31" t="str">
        <f>_xlfn.IFNA(IF($A199&lt;&gt;"",VLOOKUP($A199,Protocolos!$A$6:$G$9997,6,FALSE),""),"Não localizado")</f>
        <v/>
      </c>
    </row>
    <row r="200" spans="1:4" x14ac:dyDescent="0.25">
      <c r="A200" s="32"/>
      <c r="B200" s="26" t="str">
        <f>_xlfn.IFNA(IF($A200&lt;&gt;"",VLOOKUP($A200,Protocolos!$A$6:$G$9997,2,FALSE),""),"Não localizado")</f>
        <v/>
      </c>
      <c r="C200" s="31" t="str">
        <f>_xlfn.IFNA(IF($A200&lt;&gt;"",VLOOKUP($A200,Protocolos!$A$6:$G$9997,7,FALSE),""),"Não localizado")</f>
        <v/>
      </c>
      <c r="D200" s="31" t="str">
        <f>_xlfn.IFNA(IF($A200&lt;&gt;"",VLOOKUP($A200,Protocolos!$A$6:$G$9997,6,FALSE),""),"Não localizado")</f>
        <v/>
      </c>
    </row>
    <row r="201" spans="1:4" x14ac:dyDescent="0.25">
      <c r="A201" s="32"/>
      <c r="B201" s="26" t="str">
        <f>_xlfn.IFNA(IF($A201&lt;&gt;"",VLOOKUP($A201,Protocolos!$A$6:$G$9997,2,FALSE),""),"Não localizado")</f>
        <v/>
      </c>
      <c r="C201" s="31" t="str">
        <f>_xlfn.IFNA(IF($A201&lt;&gt;"",VLOOKUP($A201,Protocolos!$A$6:$G$9997,7,FALSE),""),"Não localizado")</f>
        <v/>
      </c>
      <c r="D201" s="31" t="str">
        <f>_xlfn.IFNA(IF($A201&lt;&gt;"",VLOOKUP($A201,Protocolos!$A$6:$G$9997,6,FALSE),""),"Não localizado")</f>
        <v/>
      </c>
    </row>
    <row r="202" spans="1:4" x14ac:dyDescent="0.25">
      <c r="A202" s="32"/>
      <c r="B202" s="26" t="str">
        <f>_xlfn.IFNA(IF($A202&lt;&gt;"",VLOOKUP($A202,Protocolos!$A$6:$G$9997,2,FALSE),""),"Não localizado")</f>
        <v/>
      </c>
      <c r="C202" s="31" t="str">
        <f>_xlfn.IFNA(IF($A202&lt;&gt;"",VLOOKUP($A202,Protocolos!$A$6:$G$9997,7,FALSE),""),"Não localizado")</f>
        <v/>
      </c>
      <c r="D202" s="31" t="str">
        <f>_xlfn.IFNA(IF($A202&lt;&gt;"",VLOOKUP($A202,Protocolos!$A$6:$G$9997,6,FALSE),""),"Não localizado")</f>
        <v/>
      </c>
    </row>
    <row r="203" spans="1:4" x14ac:dyDescent="0.25">
      <c r="A203" s="32"/>
      <c r="B203" s="26" t="str">
        <f>_xlfn.IFNA(IF($A203&lt;&gt;"",VLOOKUP($A203,Protocolos!$A$6:$G$9997,2,FALSE),""),"Não localizado")</f>
        <v/>
      </c>
      <c r="C203" s="31" t="str">
        <f>_xlfn.IFNA(IF($A203&lt;&gt;"",VLOOKUP($A203,Protocolos!$A$6:$G$9997,7,FALSE),""),"Não localizado")</f>
        <v/>
      </c>
      <c r="D203" s="31" t="str">
        <f>_xlfn.IFNA(IF($A203&lt;&gt;"",VLOOKUP($A203,Protocolos!$A$6:$G$9997,6,FALSE),""),"Não localizado")</f>
        <v/>
      </c>
    </row>
    <row r="204" spans="1:4" x14ac:dyDescent="0.25">
      <c r="A204" s="32"/>
      <c r="B204" s="26" t="str">
        <f>_xlfn.IFNA(IF($A204&lt;&gt;"",VLOOKUP($A204,Protocolos!$A$6:$G$9997,2,FALSE),""),"Não localizado")</f>
        <v/>
      </c>
      <c r="C204" s="31" t="str">
        <f>_xlfn.IFNA(IF($A204&lt;&gt;"",VLOOKUP($A204,Protocolos!$A$6:$G$9997,7,FALSE),""),"Não localizado")</f>
        <v/>
      </c>
      <c r="D204" s="31" t="str">
        <f>_xlfn.IFNA(IF($A204&lt;&gt;"",VLOOKUP($A204,Protocolos!$A$6:$G$9997,6,FALSE),""),"Não localizado")</f>
        <v/>
      </c>
    </row>
    <row r="205" spans="1:4" x14ac:dyDescent="0.25">
      <c r="A205" s="32"/>
      <c r="B205" s="26" t="str">
        <f>_xlfn.IFNA(IF($A205&lt;&gt;"",VLOOKUP($A205,Protocolos!$A$6:$G$9997,2,FALSE),""),"Não localizado")</f>
        <v/>
      </c>
      <c r="C205" s="31" t="str">
        <f>_xlfn.IFNA(IF($A205&lt;&gt;"",VLOOKUP($A205,Protocolos!$A$6:$G$9997,7,FALSE),""),"Não localizado")</f>
        <v/>
      </c>
      <c r="D205" s="31" t="str">
        <f>_xlfn.IFNA(IF($A205&lt;&gt;"",VLOOKUP($A205,Protocolos!$A$6:$G$9997,6,FALSE),""),"Não localizado")</f>
        <v/>
      </c>
    </row>
    <row r="206" spans="1:4" x14ac:dyDescent="0.25">
      <c r="A206" s="32"/>
      <c r="B206" s="26" t="str">
        <f>_xlfn.IFNA(IF($A206&lt;&gt;"",VLOOKUP($A206,Protocolos!$A$6:$G$9997,2,FALSE),""),"Não localizado")</f>
        <v/>
      </c>
      <c r="C206" s="31" t="str">
        <f>_xlfn.IFNA(IF($A206&lt;&gt;"",VLOOKUP($A206,Protocolos!$A$6:$G$9997,7,FALSE),""),"Não localizado")</f>
        <v/>
      </c>
      <c r="D206" s="31" t="str">
        <f>_xlfn.IFNA(IF($A206&lt;&gt;"",VLOOKUP($A206,Protocolos!$A$6:$G$9997,6,FALSE),""),"Não localizado")</f>
        <v/>
      </c>
    </row>
    <row r="207" spans="1:4" x14ac:dyDescent="0.25">
      <c r="A207" s="32"/>
      <c r="B207" s="26" t="str">
        <f>_xlfn.IFNA(IF($A207&lt;&gt;"",VLOOKUP($A207,Protocolos!$A$6:$G$9997,2,FALSE),""),"Não localizado")</f>
        <v/>
      </c>
      <c r="C207" s="31" t="str">
        <f>_xlfn.IFNA(IF($A207&lt;&gt;"",VLOOKUP($A207,Protocolos!$A$6:$G$9997,7,FALSE),""),"Não localizado")</f>
        <v/>
      </c>
      <c r="D207" s="31" t="str">
        <f>_xlfn.IFNA(IF($A207&lt;&gt;"",VLOOKUP($A207,Protocolos!$A$6:$G$9997,6,FALSE),""),"Não localizado")</f>
        <v/>
      </c>
    </row>
    <row r="208" spans="1:4" x14ac:dyDescent="0.25">
      <c r="A208" s="32"/>
      <c r="B208" s="26" t="str">
        <f>_xlfn.IFNA(IF($A208&lt;&gt;"",VLOOKUP($A208,Protocolos!$A$6:$G$9997,2,FALSE),""),"Não localizado")</f>
        <v/>
      </c>
      <c r="C208" s="31" t="str">
        <f>_xlfn.IFNA(IF($A208&lt;&gt;"",VLOOKUP($A208,Protocolos!$A$6:$G$9997,7,FALSE),""),"Não localizado")</f>
        <v/>
      </c>
      <c r="D208" s="31" t="str">
        <f>_xlfn.IFNA(IF($A208&lt;&gt;"",VLOOKUP($A208,Protocolos!$A$6:$G$9997,6,FALSE),""),"Não localizado")</f>
        <v/>
      </c>
    </row>
    <row r="209" spans="1:4" x14ac:dyDescent="0.25">
      <c r="A209" s="32"/>
      <c r="B209" s="26" t="str">
        <f>_xlfn.IFNA(IF($A209&lt;&gt;"",VLOOKUP($A209,Protocolos!$A$6:$G$9997,2,FALSE),""),"Não localizado")</f>
        <v/>
      </c>
      <c r="C209" s="31" t="str">
        <f>_xlfn.IFNA(IF($A209&lt;&gt;"",VLOOKUP($A209,Protocolos!$A$6:$G$9997,7,FALSE),""),"Não localizado")</f>
        <v/>
      </c>
      <c r="D209" s="31" t="str">
        <f>_xlfn.IFNA(IF($A209&lt;&gt;"",VLOOKUP($A209,Protocolos!$A$6:$G$9997,6,FALSE),""),"Não localizado")</f>
        <v/>
      </c>
    </row>
    <row r="210" spans="1:4" x14ac:dyDescent="0.25">
      <c r="A210" s="32"/>
      <c r="B210" s="26" t="str">
        <f>_xlfn.IFNA(IF($A210&lt;&gt;"",VLOOKUP($A210,Protocolos!$A$6:$G$9997,2,FALSE),""),"Não localizado")</f>
        <v/>
      </c>
      <c r="C210" s="31" t="str">
        <f>_xlfn.IFNA(IF($A210&lt;&gt;"",VLOOKUP($A210,Protocolos!$A$6:$G$9997,7,FALSE),""),"Não localizado")</f>
        <v/>
      </c>
      <c r="D210" s="31" t="str">
        <f>_xlfn.IFNA(IF($A210&lt;&gt;"",VLOOKUP($A210,Protocolos!$A$6:$G$9997,6,FALSE),""),"Não localizado")</f>
        <v/>
      </c>
    </row>
    <row r="211" spans="1:4" x14ac:dyDescent="0.25">
      <c r="A211" s="32"/>
      <c r="B211" s="26" t="str">
        <f>_xlfn.IFNA(IF($A211&lt;&gt;"",VLOOKUP($A211,Protocolos!$A$6:$G$9997,2,FALSE),""),"Não localizado")</f>
        <v/>
      </c>
      <c r="C211" s="31" t="str">
        <f>_xlfn.IFNA(IF($A211&lt;&gt;"",VLOOKUP($A211,Protocolos!$A$6:$G$9997,7,FALSE),""),"Não localizado")</f>
        <v/>
      </c>
      <c r="D211" s="31" t="str">
        <f>_xlfn.IFNA(IF($A211&lt;&gt;"",VLOOKUP($A211,Protocolos!$A$6:$G$9997,6,FALSE),""),"Não localizado")</f>
        <v/>
      </c>
    </row>
    <row r="212" spans="1:4" x14ac:dyDescent="0.25">
      <c r="A212" s="32"/>
      <c r="B212" s="26" t="str">
        <f>_xlfn.IFNA(IF($A212&lt;&gt;"",VLOOKUP($A212,Protocolos!$A$6:$G$9997,2,FALSE),""),"Não localizado")</f>
        <v/>
      </c>
      <c r="C212" s="31" t="str">
        <f>_xlfn.IFNA(IF($A212&lt;&gt;"",VLOOKUP($A212,Protocolos!$A$6:$G$9997,7,FALSE),""),"Não localizado")</f>
        <v/>
      </c>
      <c r="D212" s="31" t="str">
        <f>_xlfn.IFNA(IF($A212&lt;&gt;"",VLOOKUP($A212,Protocolos!$A$6:$G$9997,6,FALSE),""),"Não localizado")</f>
        <v/>
      </c>
    </row>
    <row r="213" spans="1:4" x14ac:dyDescent="0.25">
      <c r="A213" s="32"/>
      <c r="B213" s="26" t="str">
        <f>_xlfn.IFNA(IF($A213&lt;&gt;"",VLOOKUP($A213,Protocolos!$A$6:$G$9997,2,FALSE),""),"Não localizado")</f>
        <v/>
      </c>
      <c r="C213" s="31" t="str">
        <f>_xlfn.IFNA(IF($A213&lt;&gt;"",VLOOKUP($A213,Protocolos!$A$6:$G$9997,7,FALSE),""),"Não localizado")</f>
        <v/>
      </c>
      <c r="D213" s="31" t="str">
        <f>_xlfn.IFNA(IF($A213&lt;&gt;"",VLOOKUP($A213,Protocolos!$A$6:$G$9997,6,FALSE),""),"Não localizado")</f>
        <v/>
      </c>
    </row>
    <row r="214" spans="1:4" x14ac:dyDescent="0.25">
      <c r="A214" s="32"/>
      <c r="B214" s="26" t="str">
        <f>_xlfn.IFNA(IF($A214&lt;&gt;"",VLOOKUP($A214,Protocolos!$A$6:$G$9997,2,FALSE),""),"Não localizado")</f>
        <v/>
      </c>
      <c r="C214" s="31" t="str">
        <f>_xlfn.IFNA(IF($A214&lt;&gt;"",VLOOKUP($A214,Protocolos!$A$6:$G$9997,7,FALSE),""),"Não localizado")</f>
        <v/>
      </c>
      <c r="D214" s="31" t="str">
        <f>_xlfn.IFNA(IF($A214&lt;&gt;"",VLOOKUP($A214,Protocolos!$A$6:$G$9997,6,FALSE),""),"Não localizado")</f>
        <v/>
      </c>
    </row>
    <row r="215" spans="1:4" x14ac:dyDescent="0.25">
      <c r="A215" s="32"/>
      <c r="B215" s="26" t="str">
        <f>_xlfn.IFNA(IF($A215&lt;&gt;"",VLOOKUP($A215,Protocolos!$A$6:$G$9997,2,FALSE),""),"Não localizado")</f>
        <v/>
      </c>
      <c r="C215" s="31" t="str">
        <f>_xlfn.IFNA(IF($A215&lt;&gt;"",VLOOKUP($A215,Protocolos!$A$6:$G$9997,7,FALSE),""),"Não localizado")</f>
        <v/>
      </c>
      <c r="D215" s="31" t="str">
        <f>_xlfn.IFNA(IF($A215&lt;&gt;"",VLOOKUP($A215,Protocolos!$A$6:$G$9997,6,FALSE),""),"Não localizado")</f>
        <v/>
      </c>
    </row>
    <row r="216" spans="1:4" x14ac:dyDescent="0.25">
      <c r="A216" s="32"/>
      <c r="B216" s="26" t="str">
        <f>_xlfn.IFNA(IF($A216&lt;&gt;"",VLOOKUP($A216,Protocolos!$A$6:$G$9997,2,FALSE),""),"Não localizado")</f>
        <v/>
      </c>
      <c r="C216" s="31" t="str">
        <f>_xlfn.IFNA(IF($A216&lt;&gt;"",VLOOKUP($A216,Protocolos!$A$6:$G$9997,7,FALSE),""),"Não localizado")</f>
        <v/>
      </c>
      <c r="D216" s="31" t="str">
        <f>_xlfn.IFNA(IF($A216&lt;&gt;"",VLOOKUP($A216,Protocolos!$A$6:$G$9997,6,FALSE),""),"Não localizado")</f>
        <v/>
      </c>
    </row>
    <row r="217" spans="1:4" x14ac:dyDescent="0.25">
      <c r="A217" s="32"/>
      <c r="B217" s="26" t="str">
        <f>_xlfn.IFNA(IF($A217&lt;&gt;"",VLOOKUP($A217,Protocolos!$A$6:$G$9997,2,FALSE),""),"Não localizado")</f>
        <v/>
      </c>
      <c r="C217" s="31" t="str">
        <f>_xlfn.IFNA(IF($A217&lt;&gt;"",VLOOKUP($A217,Protocolos!$A$6:$G$9997,7,FALSE),""),"Não localizado")</f>
        <v/>
      </c>
      <c r="D217" s="31" t="str">
        <f>_xlfn.IFNA(IF($A217&lt;&gt;"",VLOOKUP($A217,Protocolos!$A$6:$G$9997,6,FALSE),""),"Não localizado")</f>
        <v/>
      </c>
    </row>
    <row r="218" spans="1:4" x14ac:dyDescent="0.25">
      <c r="A218" s="32"/>
      <c r="B218" s="26" t="str">
        <f>_xlfn.IFNA(IF($A218&lt;&gt;"",VLOOKUP($A218,Protocolos!$A$6:$G$9997,2,FALSE),""),"Não localizado")</f>
        <v/>
      </c>
      <c r="C218" s="31" t="str">
        <f>_xlfn.IFNA(IF($A218&lt;&gt;"",VLOOKUP($A218,Protocolos!$A$6:$G$9997,7,FALSE),""),"Não localizado")</f>
        <v/>
      </c>
      <c r="D218" s="31" t="str">
        <f>_xlfn.IFNA(IF($A218&lt;&gt;"",VLOOKUP($A218,Protocolos!$A$6:$G$9997,6,FALSE),""),"Não localizado")</f>
        <v/>
      </c>
    </row>
    <row r="219" spans="1:4" x14ac:dyDescent="0.25">
      <c r="A219" s="32"/>
      <c r="B219" s="26" t="str">
        <f>_xlfn.IFNA(IF($A219&lt;&gt;"",VLOOKUP($A219,Protocolos!$A$6:$G$9997,2,FALSE),""),"Não localizado")</f>
        <v/>
      </c>
      <c r="C219" s="31" t="str">
        <f>_xlfn.IFNA(IF($A219&lt;&gt;"",VLOOKUP($A219,Protocolos!$A$6:$G$9997,7,FALSE),""),"Não localizado")</f>
        <v/>
      </c>
      <c r="D219" s="31" t="str">
        <f>_xlfn.IFNA(IF($A219&lt;&gt;"",VLOOKUP($A219,Protocolos!$A$6:$G$9997,6,FALSE),""),"Não localizado")</f>
        <v/>
      </c>
    </row>
    <row r="220" spans="1:4" x14ac:dyDescent="0.25">
      <c r="A220" s="32"/>
      <c r="B220" s="26" t="str">
        <f>_xlfn.IFNA(IF($A220&lt;&gt;"",VLOOKUP($A220,Protocolos!$A$6:$G$9997,2,FALSE),""),"Não localizado")</f>
        <v/>
      </c>
      <c r="C220" s="31" t="str">
        <f>_xlfn.IFNA(IF($A220&lt;&gt;"",VLOOKUP($A220,Protocolos!$A$6:$G$9997,7,FALSE),""),"Não localizado")</f>
        <v/>
      </c>
      <c r="D220" s="31" t="str">
        <f>_xlfn.IFNA(IF($A220&lt;&gt;"",VLOOKUP($A220,Protocolos!$A$6:$G$9997,6,FALSE),""),"Não localizado")</f>
        <v/>
      </c>
    </row>
    <row r="221" spans="1:4" x14ac:dyDescent="0.25">
      <c r="A221" s="32"/>
      <c r="B221" s="26" t="str">
        <f>_xlfn.IFNA(IF($A221&lt;&gt;"",VLOOKUP($A221,Protocolos!$A$6:$G$9997,2,FALSE),""),"Não localizado")</f>
        <v/>
      </c>
      <c r="C221" s="31" t="str">
        <f>_xlfn.IFNA(IF($A221&lt;&gt;"",VLOOKUP($A221,Protocolos!$A$6:$G$9997,7,FALSE),""),"Não localizado")</f>
        <v/>
      </c>
      <c r="D221" s="31" t="str">
        <f>_xlfn.IFNA(IF($A221&lt;&gt;"",VLOOKUP($A221,Protocolos!$A$6:$G$9997,6,FALSE),""),"Não localizado")</f>
        <v/>
      </c>
    </row>
    <row r="222" spans="1:4" x14ac:dyDescent="0.25">
      <c r="A222" s="32"/>
      <c r="B222" s="26" t="str">
        <f>_xlfn.IFNA(IF($A222&lt;&gt;"",VLOOKUP($A222,Protocolos!$A$6:$G$9997,2,FALSE),""),"Não localizado")</f>
        <v/>
      </c>
      <c r="C222" s="31" t="str">
        <f>_xlfn.IFNA(IF($A222&lt;&gt;"",VLOOKUP($A222,Protocolos!$A$6:$G$9997,7,FALSE),""),"Não localizado")</f>
        <v/>
      </c>
      <c r="D222" s="31" t="str">
        <f>_xlfn.IFNA(IF($A222&lt;&gt;"",VLOOKUP($A222,Protocolos!$A$6:$G$9997,6,FALSE),""),"Não localizado")</f>
        <v/>
      </c>
    </row>
    <row r="223" spans="1:4" x14ac:dyDescent="0.25">
      <c r="A223" s="32"/>
      <c r="B223" s="26" t="str">
        <f>_xlfn.IFNA(IF($A223&lt;&gt;"",VLOOKUP($A223,Protocolos!$A$6:$G$9997,2,FALSE),""),"Não localizado")</f>
        <v/>
      </c>
      <c r="C223" s="31" t="str">
        <f>_xlfn.IFNA(IF($A223&lt;&gt;"",VLOOKUP($A223,Protocolos!$A$6:$G$9997,7,FALSE),""),"Não localizado")</f>
        <v/>
      </c>
      <c r="D223" s="31" t="str">
        <f>_xlfn.IFNA(IF($A223&lt;&gt;"",VLOOKUP($A223,Protocolos!$A$6:$G$9997,6,FALSE),""),"Não localizado")</f>
        <v/>
      </c>
    </row>
    <row r="224" spans="1:4" x14ac:dyDescent="0.25">
      <c r="A224" s="32"/>
      <c r="B224" s="26" t="str">
        <f>_xlfn.IFNA(IF($A224&lt;&gt;"",VLOOKUP($A224,Protocolos!$A$6:$G$9997,2,FALSE),""),"Não localizado")</f>
        <v/>
      </c>
      <c r="C224" s="31" t="str">
        <f>_xlfn.IFNA(IF($A224&lt;&gt;"",VLOOKUP($A224,Protocolos!$A$6:$G$9997,7,FALSE),""),"Não localizado")</f>
        <v/>
      </c>
      <c r="D224" s="31" t="str">
        <f>_xlfn.IFNA(IF($A224&lt;&gt;"",VLOOKUP($A224,Protocolos!$A$6:$G$9997,6,FALSE),""),"Não localizado")</f>
        <v/>
      </c>
    </row>
    <row r="225" spans="1:4" x14ac:dyDescent="0.25">
      <c r="A225" s="32"/>
      <c r="B225" s="26" t="str">
        <f>_xlfn.IFNA(IF($A225&lt;&gt;"",VLOOKUP($A225,Protocolos!$A$6:$G$9997,2,FALSE),""),"Não localizado")</f>
        <v/>
      </c>
      <c r="C225" s="31" t="str">
        <f>_xlfn.IFNA(IF($A225&lt;&gt;"",VLOOKUP($A225,Protocolos!$A$6:$G$9997,7,FALSE),""),"Não localizado")</f>
        <v/>
      </c>
      <c r="D225" s="31" t="str">
        <f>_xlfn.IFNA(IF($A225&lt;&gt;"",VLOOKUP($A225,Protocolos!$A$6:$G$9997,6,FALSE),""),"Não localizado")</f>
        <v/>
      </c>
    </row>
    <row r="226" spans="1:4" x14ac:dyDescent="0.25">
      <c r="A226" s="32"/>
      <c r="B226" s="26" t="str">
        <f>_xlfn.IFNA(IF($A226&lt;&gt;"",VLOOKUP($A226,Protocolos!$A$6:$G$9997,2,FALSE),""),"Não localizado")</f>
        <v/>
      </c>
      <c r="C226" s="31" t="str">
        <f>_xlfn.IFNA(IF($A226&lt;&gt;"",VLOOKUP($A226,Protocolos!$A$6:$G$9997,7,FALSE),""),"Não localizado")</f>
        <v/>
      </c>
      <c r="D226" s="31" t="str">
        <f>_xlfn.IFNA(IF($A226&lt;&gt;"",VLOOKUP($A226,Protocolos!$A$6:$G$9997,6,FALSE),""),"Não localizado")</f>
        <v/>
      </c>
    </row>
    <row r="227" spans="1:4" x14ac:dyDescent="0.25">
      <c r="A227" s="32"/>
      <c r="B227" s="26" t="str">
        <f>_xlfn.IFNA(IF($A227&lt;&gt;"",VLOOKUP($A227,Protocolos!$A$6:$G$9997,2,FALSE),""),"Não localizado")</f>
        <v/>
      </c>
      <c r="C227" s="31" t="str">
        <f>_xlfn.IFNA(IF($A227&lt;&gt;"",VLOOKUP($A227,Protocolos!$A$6:$G$9997,7,FALSE),""),"Não localizado")</f>
        <v/>
      </c>
      <c r="D227" s="31" t="str">
        <f>_xlfn.IFNA(IF($A227&lt;&gt;"",VLOOKUP($A227,Protocolos!$A$6:$G$9997,6,FALSE),""),"Não localizado")</f>
        <v/>
      </c>
    </row>
    <row r="228" spans="1:4" x14ac:dyDescent="0.25">
      <c r="A228" s="32"/>
      <c r="B228" s="26" t="str">
        <f>_xlfn.IFNA(IF($A228&lt;&gt;"",VLOOKUP($A228,Protocolos!$A$6:$G$9997,2,FALSE),""),"Não localizado")</f>
        <v/>
      </c>
      <c r="C228" s="31" t="str">
        <f>_xlfn.IFNA(IF($A228&lt;&gt;"",VLOOKUP($A228,Protocolos!$A$6:$G$9997,7,FALSE),""),"Não localizado")</f>
        <v/>
      </c>
      <c r="D228" s="31" t="str">
        <f>_xlfn.IFNA(IF($A228&lt;&gt;"",VLOOKUP($A228,Protocolos!$A$6:$G$9997,6,FALSE),""),"Não localizado")</f>
        <v/>
      </c>
    </row>
    <row r="229" spans="1:4" x14ac:dyDescent="0.25">
      <c r="A229" s="32"/>
      <c r="B229" s="26" t="str">
        <f>_xlfn.IFNA(IF($A229&lt;&gt;"",VLOOKUP($A229,Protocolos!$A$6:$G$9997,2,FALSE),""),"Não localizado")</f>
        <v/>
      </c>
      <c r="C229" s="31" t="str">
        <f>_xlfn.IFNA(IF($A229&lt;&gt;"",VLOOKUP($A229,Protocolos!$A$6:$G$9997,7,FALSE),""),"Não localizado")</f>
        <v/>
      </c>
      <c r="D229" s="31" t="str">
        <f>_xlfn.IFNA(IF($A229&lt;&gt;"",VLOOKUP($A229,Protocolos!$A$6:$G$9997,6,FALSE),""),"Não localizado")</f>
        <v/>
      </c>
    </row>
    <row r="230" spans="1:4" x14ac:dyDescent="0.25">
      <c r="A230" s="32"/>
      <c r="B230" s="26" t="str">
        <f>_xlfn.IFNA(IF($A230&lt;&gt;"",VLOOKUP($A230,Protocolos!$A$6:$G$9997,2,FALSE),""),"Não localizado")</f>
        <v/>
      </c>
      <c r="C230" s="31" t="str">
        <f>_xlfn.IFNA(IF($A230&lt;&gt;"",VLOOKUP($A230,Protocolos!$A$6:$G$9997,7,FALSE),""),"Não localizado")</f>
        <v/>
      </c>
      <c r="D230" s="31" t="str">
        <f>_xlfn.IFNA(IF($A230&lt;&gt;"",VLOOKUP($A230,Protocolos!$A$6:$G$9997,6,FALSE),""),"Não localizado")</f>
        <v/>
      </c>
    </row>
    <row r="231" spans="1:4" x14ac:dyDescent="0.25">
      <c r="A231" s="32"/>
      <c r="B231" s="26" t="str">
        <f>_xlfn.IFNA(IF($A231&lt;&gt;"",VLOOKUP($A231,Protocolos!$A$6:$G$9997,2,FALSE),""),"Não localizado")</f>
        <v/>
      </c>
      <c r="C231" s="31" t="str">
        <f>_xlfn.IFNA(IF($A231&lt;&gt;"",VLOOKUP($A231,Protocolos!$A$6:$G$9997,7,FALSE),""),"Não localizado")</f>
        <v/>
      </c>
      <c r="D231" s="31" t="str">
        <f>_xlfn.IFNA(IF($A231&lt;&gt;"",VLOOKUP($A231,Protocolos!$A$6:$G$9997,6,FALSE),""),"Não localizado")</f>
        <v/>
      </c>
    </row>
    <row r="232" spans="1:4" x14ac:dyDescent="0.25">
      <c r="A232" s="32"/>
      <c r="B232" s="26" t="str">
        <f>_xlfn.IFNA(IF($A232&lt;&gt;"",VLOOKUP($A232,Protocolos!$A$6:$G$9997,2,FALSE),""),"Não localizado")</f>
        <v/>
      </c>
      <c r="C232" s="31" t="str">
        <f>_xlfn.IFNA(IF($A232&lt;&gt;"",VLOOKUP($A232,Protocolos!$A$6:$G$9997,7,FALSE),""),"Não localizado")</f>
        <v/>
      </c>
      <c r="D232" s="31" t="str">
        <f>_xlfn.IFNA(IF($A232&lt;&gt;"",VLOOKUP($A232,Protocolos!$A$6:$G$9997,6,FALSE),""),"Não localizado")</f>
        <v/>
      </c>
    </row>
    <row r="233" spans="1:4" x14ac:dyDescent="0.25">
      <c r="A233" s="32"/>
      <c r="B233" s="26" t="str">
        <f>_xlfn.IFNA(IF($A233&lt;&gt;"",VLOOKUP($A233,Protocolos!$A$6:$G$9997,2,FALSE),""),"Não localizado")</f>
        <v/>
      </c>
      <c r="C233" s="31" t="str">
        <f>_xlfn.IFNA(IF($A233&lt;&gt;"",VLOOKUP($A233,Protocolos!$A$6:$G$9997,7,FALSE),""),"Não localizado")</f>
        <v/>
      </c>
      <c r="D233" s="31" t="str">
        <f>_xlfn.IFNA(IF($A233&lt;&gt;"",VLOOKUP($A233,Protocolos!$A$6:$G$9997,6,FALSE),""),"Não localizado")</f>
        <v/>
      </c>
    </row>
    <row r="234" spans="1:4" x14ac:dyDescent="0.25">
      <c r="A234" s="32"/>
      <c r="B234" s="26" t="str">
        <f>_xlfn.IFNA(IF($A234&lt;&gt;"",VLOOKUP($A234,Protocolos!$A$6:$G$9997,2,FALSE),""),"Não localizado")</f>
        <v/>
      </c>
      <c r="C234" s="31" t="str">
        <f>_xlfn.IFNA(IF($A234&lt;&gt;"",VLOOKUP($A234,Protocolos!$A$6:$G$9997,7,FALSE),""),"Não localizado")</f>
        <v/>
      </c>
      <c r="D234" s="31" t="str">
        <f>_xlfn.IFNA(IF($A234&lt;&gt;"",VLOOKUP($A234,Protocolos!$A$6:$G$9997,6,FALSE),""),"Não localizado")</f>
        <v/>
      </c>
    </row>
    <row r="235" spans="1:4" x14ac:dyDescent="0.25">
      <c r="A235" s="32"/>
      <c r="B235" s="26" t="str">
        <f>_xlfn.IFNA(IF($A235&lt;&gt;"",VLOOKUP($A235,Protocolos!$A$6:$G$9997,2,FALSE),""),"Não localizado")</f>
        <v/>
      </c>
      <c r="C235" s="31" t="str">
        <f>_xlfn.IFNA(IF($A235&lt;&gt;"",VLOOKUP($A235,Protocolos!$A$6:$G$9997,7,FALSE),""),"Não localizado")</f>
        <v/>
      </c>
      <c r="D235" s="31" t="str">
        <f>_xlfn.IFNA(IF($A235&lt;&gt;"",VLOOKUP($A235,Protocolos!$A$6:$G$9997,6,FALSE),""),"Não localizado")</f>
        <v/>
      </c>
    </row>
    <row r="236" spans="1:4" x14ac:dyDescent="0.25">
      <c r="A236" s="32"/>
      <c r="B236" s="26" t="str">
        <f>_xlfn.IFNA(IF($A236&lt;&gt;"",VLOOKUP($A236,Protocolos!$A$6:$G$9997,2,FALSE),""),"Não localizado")</f>
        <v/>
      </c>
      <c r="C236" s="31" t="str">
        <f>_xlfn.IFNA(IF($A236&lt;&gt;"",VLOOKUP($A236,Protocolos!$A$6:$G$9997,7,FALSE),""),"Não localizado")</f>
        <v/>
      </c>
      <c r="D236" s="31" t="str">
        <f>_xlfn.IFNA(IF($A236&lt;&gt;"",VLOOKUP($A236,Protocolos!$A$6:$G$9997,6,FALSE),""),"Não localizado")</f>
        <v/>
      </c>
    </row>
    <row r="237" spans="1:4" x14ac:dyDescent="0.25">
      <c r="A237" s="32"/>
      <c r="B237" s="26" t="str">
        <f>_xlfn.IFNA(IF($A237&lt;&gt;"",VLOOKUP($A237,Protocolos!$A$6:$G$9997,2,FALSE),""),"Não localizado")</f>
        <v/>
      </c>
      <c r="C237" s="31" t="str">
        <f>_xlfn.IFNA(IF($A237&lt;&gt;"",VLOOKUP($A237,Protocolos!$A$6:$G$9997,7,FALSE),""),"Não localizado")</f>
        <v/>
      </c>
      <c r="D237" s="31" t="str">
        <f>_xlfn.IFNA(IF($A237&lt;&gt;"",VLOOKUP($A237,Protocolos!$A$6:$G$9997,6,FALSE),""),"Não localizado")</f>
        <v/>
      </c>
    </row>
    <row r="238" spans="1:4" x14ac:dyDescent="0.25">
      <c r="A238" s="32"/>
      <c r="B238" s="26" t="str">
        <f>_xlfn.IFNA(IF($A238&lt;&gt;"",VLOOKUP($A238,Protocolos!$A$6:$G$9997,2,FALSE),""),"Não localizado")</f>
        <v/>
      </c>
      <c r="C238" s="31" t="str">
        <f>_xlfn.IFNA(IF($A238&lt;&gt;"",VLOOKUP($A238,Protocolos!$A$6:$G$9997,7,FALSE),""),"Não localizado")</f>
        <v/>
      </c>
      <c r="D238" s="31" t="str">
        <f>_xlfn.IFNA(IF($A238&lt;&gt;"",VLOOKUP($A238,Protocolos!$A$6:$G$9997,6,FALSE),""),"Não localizado")</f>
        <v/>
      </c>
    </row>
    <row r="239" spans="1:4" x14ac:dyDescent="0.25">
      <c r="A239" s="32"/>
      <c r="B239" s="26" t="str">
        <f>_xlfn.IFNA(IF($A239&lt;&gt;"",VLOOKUP($A239,Protocolos!$A$6:$G$9997,2,FALSE),""),"Não localizado")</f>
        <v/>
      </c>
      <c r="C239" s="31" t="str">
        <f>_xlfn.IFNA(IF($A239&lt;&gt;"",VLOOKUP($A239,Protocolos!$A$6:$G$9997,7,FALSE),""),"Não localizado")</f>
        <v/>
      </c>
      <c r="D239" s="31" t="str">
        <f>_xlfn.IFNA(IF($A239&lt;&gt;"",VLOOKUP($A239,Protocolos!$A$6:$G$9997,6,FALSE),""),"Não localizado")</f>
        <v/>
      </c>
    </row>
    <row r="240" spans="1:4" x14ac:dyDescent="0.25">
      <c r="A240" s="32"/>
      <c r="B240" s="26" t="str">
        <f>_xlfn.IFNA(IF($A240&lt;&gt;"",VLOOKUP($A240,Protocolos!$A$6:$G$9997,2,FALSE),""),"Não localizado")</f>
        <v/>
      </c>
      <c r="C240" s="31" t="str">
        <f>_xlfn.IFNA(IF($A240&lt;&gt;"",VLOOKUP($A240,Protocolos!$A$6:$G$9997,7,FALSE),""),"Não localizado")</f>
        <v/>
      </c>
      <c r="D240" s="31" t="str">
        <f>_xlfn.IFNA(IF($A240&lt;&gt;"",VLOOKUP($A240,Protocolos!$A$6:$G$9997,6,FALSE),""),"Não localizado")</f>
        <v/>
      </c>
    </row>
    <row r="241" spans="1:4" x14ac:dyDescent="0.25">
      <c r="A241" s="32"/>
      <c r="B241" s="26" t="str">
        <f>_xlfn.IFNA(IF($A241&lt;&gt;"",VLOOKUP($A241,Protocolos!$A$6:$G$9997,2,FALSE),""),"Não localizado")</f>
        <v/>
      </c>
      <c r="C241" s="31" t="str">
        <f>_xlfn.IFNA(IF($A241&lt;&gt;"",VLOOKUP($A241,Protocolos!$A$6:$G$9997,7,FALSE),""),"Não localizado")</f>
        <v/>
      </c>
      <c r="D241" s="31" t="str">
        <f>_xlfn.IFNA(IF($A241&lt;&gt;"",VLOOKUP($A241,Protocolos!$A$6:$G$9997,6,FALSE),""),"Não localizado")</f>
        <v/>
      </c>
    </row>
    <row r="242" spans="1:4" x14ac:dyDescent="0.25">
      <c r="A242" s="32"/>
      <c r="B242" s="26" t="str">
        <f>_xlfn.IFNA(IF($A242&lt;&gt;"",VLOOKUP($A242,Protocolos!$A$6:$G$9997,2,FALSE),""),"Não localizado")</f>
        <v/>
      </c>
      <c r="C242" s="31" t="str">
        <f>_xlfn.IFNA(IF($A242&lt;&gt;"",VLOOKUP($A242,Protocolos!$A$6:$G$9997,7,FALSE),""),"Não localizado")</f>
        <v/>
      </c>
      <c r="D242" s="31" t="str">
        <f>_xlfn.IFNA(IF($A242&lt;&gt;"",VLOOKUP($A242,Protocolos!$A$6:$G$9997,6,FALSE),""),"Não localizado")</f>
        <v/>
      </c>
    </row>
    <row r="243" spans="1:4" x14ac:dyDescent="0.25">
      <c r="A243" s="32"/>
      <c r="B243" s="26" t="str">
        <f>_xlfn.IFNA(IF($A243&lt;&gt;"",VLOOKUP($A243,Protocolos!$A$6:$G$9997,2,FALSE),""),"Não localizado")</f>
        <v/>
      </c>
      <c r="C243" s="31" t="str">
        <f>_xlfn.IFNA(IF($A243&lt;&gt;"",VLOOKUP($A243,Protocolos!$A$6:$G$9997,7,FALSE),""),"Não localizado")</f>
        <v/>
      </c>
      <c r="D243" s="31" t="str">
        <f>_xlfn.IFNA(IF($A243&lt;&gt;"",VLOOKUP($A243,Protocolos!$A$6:$G$9997,6,FALSE),""),"Não localizado")</f>
        <v/>
      </c>
    </row>
    <row r="244" spans="1:4" x14ac:dyDescent="0.25">
      <c r="A244" s="32"/>
      <c r="B244" s="26" t="str">
        <f>_xlfn.IFNA(IF($A244&lt;&gt;"",VLOOKUP($A244,Protocolos!$A$6:$G$9997,2,FALSE),""),"Não localizado")</f>
        <v/>
      </c>
      <c r="C244" s="31" t="str">
        <f>_xlfn.IFNA(IF($A244&lt;&gt;"",VLOOKUP($A244,Protocolos!$A$6:$G$9997,7,FALSE),""),"Não localizado")</f>
        <v/>
      </c>
      <c r="D244" s="31" t="str">
        <f>_xlfn.IFNA(IF($A244&lt;&gt;"",VLOOKUP($A244,Protocolos!$A$6:$G$9997,6,FALSE),""),"Não localizado")</f>
        <v/>
      </c>
    </row>
    <row r="245" spans="1:4" x14ac:dyDescent="0.25">
      <c r="A245" s="32"/>
      <c r="B245" s="26" t="str">
        <f>_xlfn.IFNA(IF($A245&lt;&gt;"",VLOOKUP($A245,Protocolos!$A$6:$G$9997,2,FALSE),""),"Não localizado")</f>
        <v/>
      </c>
      <c r="C245" s="31" t="str">
        <f>_xlfn.IFNA(IF($A245&lt;&gt;"",VLOOKUP($A245,Protocolos!$A$6:$G$9997,7,FALSE),""),"Não localizado")</f>
        <v/>
      </c>
      <c r="D245" s="31" t="str">
        <f>_xlfn.IFNA(IF($A245&lt;&gt;"",VLOOKUP($A245,Protocolos!$A$6:$G$9997,6,FALSE),""),"Não localizado")</f>
        <v/>
      </c>
    </row>
    <row r="246" spans="1:4" x14ac:dyDescent="0.25">
      <c r="A246" s="32"/>
      <c r="B246" s="26" t="str">
        <f>_xlfn.IFNA(IF($A246&lt;&gt;"",VLOOKUP($A246,Protocolos!$A$6:$G$9997,2,FALSE),""),"Não localizado")</f>
        <v/>
      </c>
      <c r="C246" s="31" t="str">
        <f>_xlfn.IFNA(IF($A246&lt;&gt;"",VLOOKUP($A246,Protocolos!$A$6:$G$9997,7,FALSE),""),"Não localizado")</f>
        <v/>
      </c>
      <c r="D246" s="31" t="str">
        <f>_xlfn.IFNA(IF($A246&lt;&gt;"",VLOOKUP($A246,Protocolos!$A$6:$G$9997,6,FALSE),""),"Não localizado")</f>
        <v/>
      </c>
    </row>
    <row r="247" spans="1:4" x14ac:dyDescent="0.25">
      <c r="A247" s="32"/>
      <c r="B247" s="26" t="str">
        <f>_xlfn.IFNA(IF($A247&lt;&gt;"",VLOOKUP($A247,Protocolos!$A$6:$G$9997,2,FALSE),""),"Não localizado")</f>
        <v/>
      </c>
      <c r="C247" s="31" t="str">
        <f>_xlfn.IFNA(IF($A247&lt;&gt;"",VLOOKUP($A247,Protocolos!$A$6:$G$9997,7,FALSE),""),"Não localizado")</f>
        <v/>
      </c>
      <c r="D247" s="31" t="str">
        <f>_xlfn.IFNA(IF($A247&lt;&gt;"",VLOOKUP($A247,Protocolos!$A$6:$G$9997,6,FALSE),""),"Não localizado")</f>
        <v/>
      </c>
    </row>
    <row r="248" spans="1:4" x14ac:dyDescent="0.25">
      <c r="A248" s="32"/>
      <c r="B248" s="26" t="str">
        <f>_xlfn.IFNA(IF($A248&lt;&gt;"",VLOOKUP($A248,Protocolos!$A$6:$G$9997,2,FALSE),""),"Não localizado")</f>
        <v/>
      </c>
      <c r="C248" s="31" t="str">
        <f>_xlfn.IFNA(IF($A248&lt;&gt;"",VLOOKUP($A248,Protocolos!$A$6:$G$9997,7,FALSE),""),"Não localizado")</f>
        <v/>
      </c>
      <c r="D248" s="31" t="str">
        <f>_xlfn.IFNA(IF($A248&lt;&gt;"",VLOOKUP($A248,Protocolos!$A$6:$G$9997,6,FALSE),""),"Não localizado")</f>
        <v/>
      </c>
    </row>
    <row r="249" spans="1:4" x14ac:dyDescent="0.25">
      <c r="A249" s="32"/>
      <c r="B249" s="26" t="str">
        <f>_xlfn.IFNA(IF($A249&lt;&gt;"",VLOOKUP($A249,Protocolos!$A$6:$G$9997,2,FALSE),""),"Não localizado")</f>
        <v/>
      </c>
      <c r="C249" s="31" t="str">
        <f>_xlfn.IFNA(IF($A249&lt;&gt;"",VLOOKUP($A249,Protocolos!$A$6:$G$9997,7,FALSE),""),"Não localizado")</f>
        <v/>
      </c>
      <c r="D249" s="31" t="str">
        <f>_xlfn.IFNA(IF($A249&lt;&gt;"",VLOOKUP($A249,Protocolos!$A$6:$G$9997,6,FALSE),""),"Não localizado")</f>
        <v/>
      </c>
    </row>
    <row r="250" spans="1:4" x14ac:dyDescent="0.25">
      <c r="A250" s="32"/>
      <c r="B250" s="26" t="str">
        <f>_xlfn.IFNA(IF($A250&lt;&gt;"",VLOOKUP($A250,Protocolos!$A$6:$G$9997,2,FALSE),""),"Não localizado")</f>
        <v/>
      </c>
      <c r="C250" s="31" t="str">
        <f>_xlfn.IFNA(IF($A250&lt;&gt;"",VLOOKUP($A250,Protocolos!$A$6:$G$9997,7,FALSE),""),"Não localizado")</f>
        <v/>
      </c>
      <c r="D250" s="31" t="str">
        <f>_xlfn.IFNA(IF($A250&lt;&gt;"",VLOOKUP($A250,Protocolos!$A$6:$G$9997,6,FALSE),""),"Não localizado")</f>
        <v/>
      </c>
    </row>
    <row r="251" spans="1:4" x14ac:dyDescent="0.25">
      <c r="B251" s="26" t="str">
        <f>_xlfn.IFNA(IF($A251&lt;&gt;"",VLOOKUP($A251,Protocolos!$A$6:$G$9997,2,FALSE),""),"Não localizado")</f>
        <v/>
      </c>
      <c r="C251" s="31" t="str">
        <f>_xlfn.IFNA(IF($A251&lt;&gt;"",VLOOKUP($A251,Protocolos!$A$6:$G$9997,7,FALSE),""),"Não localizado")</f>
        <v/>
      </c>
      <c r="D251" s="31" t="str">
        <f>_xlfn.IFNA(IF($A251&lt;&gt;"",VLOOKUP($A251,Protocolos!$A$6:$G$9997,6,FALSE),""),"Não localizado")</f>
        <v/>
      </c>
    </row>
    <row r="252" spans="1:4" x14ac:dyDescent="0.25">
      <c r="B252" s="26" t="str">
        <f>_xlfn.IFNA(IF($A252&lt;&gt;"",VLOOKUP($A252,Protocolos!$A$6:$G$9997,2,FALSE),""),"Não localizado")</f>
        <v/>
      </c>
      <c r="C252" s="31" t="str">
        <f>_xlfn.IFNA(IF($A252&lt;&gt;"",VLOOKUP($A252,Protocolos!$A$6:$G$9997,7,FALSE),""),"Não localizado")</f>
        <v/>
      </c>
      <c r="D252" s="31" t="str">
        <f>_xlfn.IFNA(IF($A252&lt;&gt;"",VLOOKUP($A252,Protocolos!$A$6:$G$9997,6,FALSE),""),"Não localizado")</f>
        <v/>
      </c>
    </row>
    <row r="253" spans="1:4" x14ac:dyDescent="0.25">
      <c r="B253" s="26" t="str">
        <f>_xlfn.IFNA(IF($A253&lt;&gt;"",VLOOKUP($A253,Protocolos!$A$6:$G$9997,2,FALSE),""),"Não localizado")</f>
        <v/>
      </c>
      <c r="C253" s="31" t="str">
        <f>_xlfn.IFNA(IF($A253&lt;&gt;"",VLOOKUP($A253,Protocolos!$A$6:$G$9997,7,FALSE),""),"Não localizado")</f>
        <v/>
      </c>
      <c r="D253" s="31" t="str">
        <f>_xlfn.IFNA(IF($A253&lt;&gt;"",VLOOKUP($A253,Protocolos!$A$6:$G$9997,6,FALSE),""),"Não localizado")</f>
        <v/>
      </c>
    </row>
    <row r="254" spans="1:4" x14ac:dyDescent="0.25">
      <c r="B254" s="26" t="str">
        <f>_xlfn.IFNA(IF($A254&lt;&gt;"",VLOOKUP($A254,Protocolos!$A$6:$G$9997,2,FALSE),""),"Não localizado")</f>
        <v/>
      </c>
      <c r="C254" s="31" t="str">
        <f>_xlfn.IFNA(IF($A254&lt;&gt;"",VLOOKUP($A254,Protocolos!$A$6:$G$9997,7,FALSE),""),"Não localizado")</f>
        <v/>
      </c>
      <c r="D254" s="31" t="str">
        <f>_xlfn.IFNA(IF($A254&lt;&gt;"",VLOOKUP($A254,Protocolos!$A$6:$G$9997,6,FALSE),""),"Não localizado")</f>
        <v/>
      </c>
    </row>
    <row r="255" spans="1:4" x14ac:dyDescent="0.25">
      <c r="B255" s="26" t="str">
        <f>_xlfn.IFNA(IF($A255&lt;&gt;"",VLOOKUP($A255,Protocolos!$A$6:$G$9997,2,FALSE),""),"Não localizado")</f>
        <v/>
      </c>
      <c r="C255" s="31" t="str">
        <f>_xlfn.IFNA(IF($A255&lt;&gt;"",VLOOKUP($A255,Protocolos!$A$6:$G$9997,7,FALSE),""),"Não localizado")</f>
        <v/>
      </c>
      <c r="D255" s="31" t="str">
        <f>_xlfn.IFNA(IF($A255&lt;&gt;"",VLOOKUP($A255,Protocolos!$A$6:$G$9997,6,FALSE),""),"Não localizado")</f>
        <v/>
      </c>
    </row>
    <row r="256" spans="1:4" x14ac:dyDescent="0.25">
      <c r="B256" s="26" t="str">
        <f>_xlfn.IFNA(IF($A256&lt;&gt;"",VLOOKUP($A256,Protocolos!$A$6:$G$9997,2,FALSE),""),"Não localizado")</f>
        <v/>
      </c>
      <c r="C256" s="31" t="str">
        <f>_xlfn.IFNA(IF($A256&lt;&gt;"",VLOOKUP($A256,Protocolos!$A$6:$G$9997,7,FALSE),""),"Não localizado")</f>
        <v/>
      </c>
      <c r="D256" s="31" t="str">
        <f>_xlfn.IFNA(IF($A256&lt;&gt;"",VLOOKUP($A256,Protocolos!$A$6:$G$9997,6,FALSE),""),"Não localizado")</f>
        <v/>
      </c>
    </row>
    <row r="257" spans="2:4" x14ac:dyDescent="0.25">
      <c r="B257" s="26" t="str">
        <f>_xlfn.IFNA(IF($A257&lt;&gt;"",VLOOKUP($A257,Protocolos!$A$6:$G$9997,2,FALSE),""),"Não localizado")</f>
        <v/>
      </c>
      <c r="C257" s="31" t="str">
        <f>_xlfn.IFNA(IF($A257&lt;&gt;"",VLOOKUP($A257,Protocolos!$A$6:$G$9997,7,FALSE),""),"Não localizado")</f>
        <v/>
      </c>
      <c r="D257" s="31" t="str">
        <f>_xlfn.IFNA(IF($A257&lt;&gt;"",VLOOKUP($A257,Protocolos!$A$6:$G$9997,6,FALSE),""),"Não localizado")</f>
        <v/>
      </c>
    </row>
    <row r="258" spans="2:4" x14ac:dyDescent="0.25">
      <c r="B258" s="26" t="str">
        <f>_xlfn.IFNA(IF($A258&lt;&gt;"",VLOOKUP($A258,Protocolos!$A$6:$G$9997,2,FALSE),""),"Não localizado")</f>
        <v/>
      </c>
      <c r="C258" s="31" t="str">
        <f>_xlfn.IFNA(IF($A258&lt;&gt;"",VLOOKUP($A258,Protocolos!$A$6:$G$9997,7,FALSE),""),"Não localizado")</f>
        <v/>
      </c>
      <c r="D258" s="31" t="str">
        <f>_xlfn.IFNA(IF($A258&lt;&gt;"",VLOOKUP($A258,Protocolos!$A$6:$G$9997,6,FALSE),""),"Não localizado")</f>
        <v/>
      </c>
    </row>
    <row r="259" spans="2:4" x14ac:dyDescent="0.25">
      <c r="B259" s="26" t="str">
        <f>_xlfn.IFNA(IF($A259&lt;&gt;"",VLOOKUP($A259,Protocolos!$A$6:$G$9997,2,FALSE),""),"Não localizado")</f>
        <v/>
      </c>
      <c r="C259" s="31" t="str">
        <f>_xlfn.IFNA(IF($A259&lt;&gt;"",VLOOKUP($A259,Protocolos!$A$6:$G$9997,7,FALSE),""),"Não localizado")</f>
        <v/>
      </c>
      <c r="D259" s="31" t="str">
        <f>_xlfn.IFNA(IF($A259&lt;&gt;"",VLOOKUP($A259,Protocolos!$A$6:$G$9997,6,FALSE),""),"Não localizado")</f>
        <v/>
      </c>
    </row>
    <row r="260" spans="2:4" x14ac:dyDescent="0.25">
      <c r="B260" s="26" t="str">
        <f>_xlfn.IFNA(IF($A260&lt;&gt;"",VLOOKUP($A260,Protocolos!$A$6:$G$9997,2,FALSE),""),"Não localizado")</f>
        <v/>
      </c>
      <c r="C260" s="31" t="str">
        <f>_xlfn.IFNA(IF($A260&lt;&gt;"",VLOOKUP($A260,Protocolos!$A$6:$G$9997,7,FALSE),""),"Não localizado")</f>
        <v/>
      </c>
      <c r="D260" s="31" t="str">
        <f>_xlfn.IFNA(IF($A260&lt;&gt;"",VLOOKUP($A260,Protocolos!$A$6:$G$9997,6,FALSE),""),"Não localizado")</f>
        <v/>
      </c>
    </row>
    <row r="261" spans="2:4" x14ac:dyDescent="0.25">
      <c r="B261" s="26" t="str">
        <f>_xlfn.IFNA(IF($A261&lt;&gt;"",VLOOKUP($A261,Protocolos!$A$6:$G$9997,2,FALSE),""),"Não localizado")</f>
        <v/>
      </c>
      <c r="C261" s="31" t="str">
        <f>_xlfn.IFNA(IF($A261&lt;&gt;"",VLOOKUP($A261,Protocolos!$A$6:$G$9997,7,FALSE),""),"Não localizado")</f>
        <v/>
      </c>
      <c r="D261" s="31" t="str">
        <f>_xlfn.IFNA(IF($A261&lt;&gt;"",VLOOKUP($A261,Protocolos!$A$6:$G$9997,6,FALSE),""),"Não localizado")</f>
        <v/>
      </c>
    </row>
    <row r="262" spans="2:4" x14ac:dyDescent="0.25">
      <c r="B262" s="26" t="str">
        <f>_xlfn.IFNA(IF($A262&lt;&gt;"",VLOOKUP($A262,Protocolos!$A$6:$G$9997,2,FALSE),""),"Não localizado")</f>
        <v/>
      </c>
      <c r="C262" s="31" t="str">
        <f>_xlfn.IFNA(IF($A262&lt;&gt;"",VLOOKUP($A262,Protocolos!$A$6:$G$9997,7,FALSE),""),"Não localizado")</f>
        <v/>
      </c>
      <c r="D262" s="31" t="str">
        <f>_xlfn.IFNA(IF($A262&lt;&gt;"",VLOOKUP($A262,Protocolos!$A$6:$G$9997,6,FALSE),""),"Não localizado")</f>
        <v/>
      </c>
    </row>
    <row r="263" spans="2:4" x14ac:dyDescent="0.25">
      <c r="B263" s="26" t="str">
        <f>_xlfn.IFNA(IF($A263&lt;&gt;"",VLOOKUP($A263,Protocolos!$A$6:$G$9997,2,FALSE),""),"Não localizado")</f>
        <v/>
      </c>
      <c r="C263" s="31" t="str">
        <f>_xlfn.IFNA(IF($A263&lt;&gt;"",VLOOKUP($A263,Protocolos!$A$6:$G$9997,7,FALSE),""),"Não localizado")</f>
        <v/>
      </c>
      <c r="D263" s="31" t="str">
        <f>_xlfn.IFNA(IF($A263&lt;&gt;"",VLOOKUP($A263,Protocolos!$A$6:$G$9997,6,FALSE),""),"Não localizado")</f>
        <v/>
      </c>
    </row>
    <row r="264" spans="2:4" x14ac:dyDescent="0.25">
      <c r="B264" s="26" t="str">
        <f>_xlfn.IFNA(IF($A264&lt;&gt;"",VLOOKUP($A264,Protocolos!$A$6:$G$9997,2,FALSE),""),"Não localizado")</f>
        <v/>
      </c>
      <c r="C264" s="31" t="str">
        <f>_xlfn.IFNA(IF($A264&lt;&gt;"",VLOOKUP($A264,Protocolos!$A$6:$G$9997,7,FALSE),""),"Não localizado")</f>
        <v/>
      </c>
      <c r="D264" s="31" t="str">
        <f>_xlfn.IFNA(IF($A264&lt;&gt;"",VLOOKUP($A264,Protocolos!$A$6:$G$9997,6,FALSE),""),"Não localizado")</f>
        <v/>
      </c>
    </row>
    <row r="265" spans="2:4" x14ac:dyDescent="0.25">
      <c r="B265" s="26" t="str">
        <f>_xlfn.IFNA(IF($A265&lt;&gt;"",VLOOKUP($A265,Protocolos!$A$6:$G$9997,2,FALSE),""),"Não localizado")</f>
        <v/>
      </c>
      <c r="C265" s="31" t="str">
        <f>_xlfn.IFNA(IF($A265&lt;&gt;"",VLOOKUP($A265,Protocolos!$A$6:$G$9997,7,FALSE),""),"Não localizado")</f>
        <v/>
      </c>
      <c r="D265" s="31" t="str">
        <f>_xlfn.IFNA(IF($A265&lt;&gt;"",VLOOKUP($A265,Protocolos!$A$6:$G$9997,6,FALSE),""),"Não localizado")</f>
        <v/>
      </c>
    </row>
    <row r="266" spans="2:4" x14ac:dyDescent="0.25">
      <c r="B266" s="26" t="str">
        <f>_xlfn.IFNA(IF($A266&lt;&gt;"",VLOOKUP($A266,Protocolos!$A$6:$G$9997,2,FALSE),""),"Não localizado")</f>
        <v/>
      </c>
      <c r="C266" s="31" t="str">
        <f>_xlfn.IFNA(IF($A266&lt;&gt;"",VLOOKUP($A266,Protocolos!$A$6:$G$9997,7,FALSE),""),"Não localizado")</f>
        <v/>
      </c>
      <c r="D266" s="31" t="str">
        <f>_xlfn.IFNA(IF($A266&lt;&gt;"",VLOOKUP($A266,Protocolos!$A$6:$G$9997,6,FALSE),""),"Não localizado")</f>
        <v/>
      </c>
    </row>
    <row r="267" spans="2:4" x14ac:dyDescent="0.25">
      <c r="B267" s="26" t="str">
        <f>_xlfn.IFNA(IF($A267&lt;&gt;"",VLOOKUP($A267,Protocolos!$A$6:$G$9997,2,FALSE),""),"Não localizado")</f>
        <v/>
      </c>
      <c r="C267" s="31" t="str">
        <f>_xlfn.IFNA(IF($A267&lt;&gt;"",VLOOKUP($A267,Protocolos!$A$6:$G$9997,7,FALSE),""),"Não localizado")</f>
        <v/>
      </c>
      <c r="D267" s="31" t="str">
        <f>_xlfn.IFNA(IF($A267&lt;&gt;"",VLOOKUP($A267,Protocolos!$A$6:$G$9997,6,FALSE),""),"Não localizado")</f>
        <v/>
      </c>
    </row>
    <row r="268" spans="2:4" x14ac:dyDescent="0.25">
      <c r="B268" s="26" t="str">
        <f>_xlfn.IFNA(IF($A268&lt;&gt;"",VLOOKUP($A268,Protocolos!$A$6:$G$9997,2,FALSE),""),"Não localizado")</f>
        <v/>
      </c>
      <c r="C268" s="31" t="str">
        <f>_xlfn.IFNA(IF($A268&lt;&gt;"",VLOOKUP($A268,Protocolos!$A$6:$G$9997,7,FALSE),""),"Não localizado")</f>
        <v/>
      </c>
      <c r="D268" s="31" t="str">
        <f>_xlfn.IFNA(IF($A268&lt;&gt;"",VLOOKUP($A268,Protocolos!$A$6:$G$9997,6,FALSE),""),"Não localizado")</f>
        <v/>
      </c>
    </row>
    <row r="269" spans="2:4" x14ac:dyDescent="0.25">
      <c r="B269" s="26" t="str">
        <f>_xlfn.IFNA(IF($A269&lt;&gt;"",VLOOKUP($A269,Protocolos!$A$6:$G$9997,2,FALSE),""),"Não localizado")</f>
        <v/>
      </c>
      <c r="C269" s="31" t="str">
        <f>_xlfn.IFNA(IF($A269&lt;&gt;"",VLOOKUP($A269,Protocolos!$A$6:$G$9997,7,FALSE),""),"Não localizado")</f>
        <v/>
      </c>
      <c r="D269" s="31" t="str">
        <f>_xlfn.IFNA(IF($A269&lt;&gt;"",VLOOKUP($A269,Protocolos!$A$6:$G$9997,6,FALSE),""),"Não localizado")</f>
        <v/>
      </c>
    </row>
    <row r="270" spans="2:4" x14ac:dyDescent="0.25">
      <c r="B270" s="26" t="str">
        <f>_xlfn.IFNA(IF($A270&lt;&gt;"",VLOOKUP($A270,Protocolos!$A$6:$G$9997,2,FALSE),""),"Não localizado")</f>
        <v/>
      </c>
      <c r="C270" s="31" t="str">
        <f>_xlfn.IFNA(IF($A270&lt;&gt;"",VLOOKUP($A270,Protocolos!$A$6:$G$9997,7,FALSE),""),"Não localizado")</f>
        <v/>
      </c>
      <c r="D270" s="31" t="str">
        <f>_xlfn.IFNA(IF($A270&lt;&gt;"",VLOOKUP($A270,Protocolos!$A$6:$G$9997,6,FALSE),""),"Não localizado")</f>
        <v/>
      </c>
    </row>
    <row r="271" spans="2:4" x14ac:dyDescent="0.25">
      <c r="B271" s="26" t="str">
        <f>_xlfn.IFNA(IF($A271&lt;&gt;"",VLOOKUP($A271,Protocolos!$A$6:$G$9997,2,FALSE),""),"Não localizado")</f>
        <v/>
      </c>
      <c r="C271" s="31" t="str">
        <f>_xlfn.IFNA(IF($A271&lt;&gt;"",VLOOKUP($A271,Protocolos!$A$6:$G$9997,7,FALSE),""),"Não localizado")</f>
        <v/>
      </c>
      <c r="D271" s="31" t="str">
        <f>_xlfn.IFNA(IF($A271&lt;&gt;"",VLOOKUP($A271,Protocolos!$A$6:$G$9997,6,FALSE),""),"Não localizado")</f>
        <v/>
      </c>
    </row>
    <row r="272" spans="2:4" x14ac:dyDescent="0.25">
      <c r="B272" s="26" t="str">
        <f>_xlfn.IFNA(IF($A272&lt;&gt;"",VLOOKUP($A272,Protocolos!$A$6:$G$9997,2,FALSE),""),"Não localizado")</f>
        <v/>
      </c>
      <c r="C272" s="31" t="str">
        <f>_xlfn.IFNA(IF($A272&lt;&gt;"",VLOOKUP($A272,Protocolos!$A$6:$G$9997,7,FALSE),""),"Não localizado")</f>
        <v/>
      </c>
      <c r="D272" s="31" t="str">
        <f>_xlfn.IFNA(IF($A272&lt;&gt;"",VLOOKUP($A272,Protocolos!$A$6:$G$9997,6,FALSE),""),"Não localizado")</f>
        <v/>
      </c>
    </row>
    <row r="273" spans="2:4" x14ac:dyDescent="0.25">
      <c r="B273" s="26" t="str">
        <f>_xlfn.IFNA(IF($A273&lt;&gt;"",VLOOKUP($A273,Protocolos!$A$6:$G$9997,2,FALSE),""),"Não localizado")</f>
        <v/>
      </c>
      <c r="C273" s="31" t="str">
        <f>_xlfn.IFNA(IF($A273&lt;&gt;"",VLOOKUP($A273,Protocolos!$A$6:$G$9997,7,FALSE),""),"Não localizado")</f>
        <v/>
      </c>
      <c r="D273" s="31" t="str">
        <f>_xlfn.IFNA(IF($A273&lt;&gt;"",VLOOKUP($A273,Protocolos!$A$6:$G$9997,6,FALSE),""),"Não localizado")</f>
        <v/>
      </c>
    </row>
    <row r="274" spans="2:4" x14ac:dyDescent="0.25">
      <c r="B274" s="26" t="str">
        <f>_xlfn.IFNA(IF($A274&lt;&gt;"",VLOOKUP($A274,Protocolos!$A$6:$G$9997,2,FALSE),""),"Não localizado")</f>
        <v/>
      </c>
      <c r="C274" s="31" t="str">
        <f>_xlfn.IFNA(IF($A274&lt;&gt;"",VLOOKUP($A274,Protocolos!$A$6:$G$9997,7,FALSE),""),"Não localizado")</f>
        <v/>
      </c>
      <c r="D274" s="31" t="str">
        <f>_xlfn.IFNA(IF($A274&lt;&gt;"",VLOOKUP($A274,Protocolos!$A$6:$G$9997,6,FALSE),""),"Não localizado")</f>
        <v/>
      </c>
    </row>
    <row r="275" spans="2:4" x14ac:dyDescent="0.25">
      <c r="B275" s="26" t="str">
        <f>_xlfn.IFNA(IF($A275&lt;&gt;"",VLOOKUP($A275,Protocolos!$A$6:$G$9997,2,FALSE),""),"Não localizado")</f>
        <v/>
      </c>
      <c r="C275" s="31" t="str">
        <f>_xlfn.IFNA(IF($A275&lt;&gt;"",VLOOKUP($A275,Protocolos!$A$6:$G$9997,7,FALSE),""),"Não localizado")</f>
        <v/>
      </c>
      <c r="D275" s="31" t="str">
        <f>_xlfn.IFNA(IF($A275&lt;&gt;"",VLOOKUP($A275,Protocolos!$A$6:$G$9997,6,FALSE),""),"Não localizado")</f>
        <v/>
      </c>
    </row>
    <row r="276" spans="2:4" x14ac:dyDescent="0.25">
      <c r="B276" s="26" t="str">
        <f>_xlfn.IFNA(IF($A276&lt;&gt;"",VLOOKUP($A276,Protocolos!$A$6:$G$9997,2,FALSE),""),"Não localizado")</f>
        <v/>
      </c>
      <c r="C276" s="31" t="str">
        <f>_xlfn.IFNA(IF($A276&lt;&gt;"",VLOOKUP($A276,Protocolos!$A$6:$G$9997,7,FALSE),""),"Não localizado")</f>
        <v/>
      </c>
      <c r="D276" s="31" t="str">
        <f>_xlfn.IFNA(IF($A276&lt;&gt;"",VLOOKUP($A276,Protocolos!$A$6:$G$9997,6,FALSE),""),"Não localizado")</f>
        <v/>
      </c>
    </row>
    <row r="277" spans="2:4" x14ac:dyDescent="0.25">
      <c r="B277" s="26" t="str">
        <f>_xlfn.IFNA(IF($A277&lt;&gt;"",VLOOKUP($A277,Protocolos!$A$6:$G$9997,2,FALSE),""),"Não localizado")</f>
        <v/>
      </c>
      <c r="C277" s="31" t="str">
        <f>_xlfn.IFNA(IF($A277&lt;&gt;"",VLOOKUP($A277,Protocolos!$A$6:$G$9997,7,FALSE),""),"Não localizado")</f>
        <v/>
      </c>
      <c r="D277" s="31" t="str">
        <f>_xlfn.IFNA(IF($A277&lt;&gt;"",VLOOKUP($A277,Protocolos!$A$6:$G$9997,6,FALSE),""),"Não localizado")</f>
        <v/>
      </c>
    </row>
    <row r="278" spans="2:4" x14ac:dyDescent="0.25">
      <c r="B278" s="26" t="str">
        <f>_xlfn.IFNA(IF($A278&lt;&gt;"",VLOOKUP($A278,Protocolos!$A$6:$G$9997,2,FALSE),""),"Não localizado")</f>
        <v/>
      </c>
      <c r="C278" s="31" t="str">
        <f>_xlfn.IFNA(IF($A278&lt;&gt;"",VLOOKUP($A278,Protocolos!$A$6:$G$9997,7,FALSE),""),"Não localizado")</f>
        <v/>
      </c>
      <c r="D278" s="31" t="str">
        <f>_xlfn.IFNA(IF($A278&lt;&gt;"",VLOOKUP($A278,Protocolos!$A$6:$G$9997,6,FALSE),""),"Não localizado")</f>
        <v/>
      </c>
    </row>
    <row r="279" spans="2:4" x14ac:dyDescent="0.25">
      <c r="B279" s="26" t="str">
        <f>_xlfn.IFNA(IF($A279&lt;&gt;"",VLOOKUP($A279,Protocolos!$A$6:$G$9997,2,FALSE),""),"Não localizado")</f>
        <v/>
      </c>
      <c r="C279" s="31" t="str">
        <f>_xlfn.IFNA(IF($A279&lt;&gt;"",VLOOKUP($A279,Protocolos!$A$6:$G$9997,7,FALSE),""),"Não localizado")</f>
        <v/>
      </c>
      <c r="D279" s="31" t="str">
        <f>_xlfn.IFNA(IF($A279&lt;&gt;"",VLOOKUP($A279,Protocolos!$A$6:$G$9997,6,FALSE),""),"Não localizado")</f>
        <v/>
      </c>
    </row>
    <row r="280" spans="2:4" x14ac:dyDescent="0.25">
      <c r="B280" s="26" t="str">
        <f>_xlfn.IFNA(IF($A280&lt;&gt;"",VLOOKUP($A280,Protocolos!$A$6:$G$9997,2,FALSE),""),"Não localizado")</f>
        <v/>
      </c>
      <c r="C280" s="31" t="str">
        <f>_xlfn.IFNA(IF($A280&lt;&gt;"",VLOOKUP($A280,Protocolos!$A$6:$G$9997,7,FALSE),""),"Não localizado")</f>
        <v/>
      </c>
      <c r="D280" s="31" t="str">
        <f>_xlfn.IFNA(IF($A280&lt;&gt;"",VLOOKUP($A280,Protocolos!$A$6:$G$9997,6,FALSE),""),"Não localizado")</f>
        <v/>
      </c>
    </row>
    <row r="281" spans="2:4" x14ac:dyDescent="0.25">
      <c r="B281" s="26" t="str">
        <f>_xlfn.IFNA(IF($A281&lt;&gt;"",VLOOKUP($A281,Protocolos!$A$6:$G$9997,2,FALSE),""),"Não localizado")</f>
        <v/>
      </c>
      <c r="C281" s="31" t="str">
        <f>_xlfn.IFNA(IF($A281&lt;&gt;"",VLOOKUP($A281,Protocolos!$A$6:$G$9997,7,FALSE),""),"Não localizado")</f>
        <v/>
      </c>
      <c r="D281" s="31" t="str">
        <f>_xlfn.IFNA(IF($A281&lt;&gt;"",VLOOKUP($A281,Protocolos!$A$6:$G$9997,6,FALSE),""),"Não localizado")</f>
        <v/>
      </c>
    </row>
    <row r="282" spans="2:4" x14ac:dyDescent="0.25">
      <c r="B282" s="26" t="str">
        <f>_xlfn.IFNA(IF($A282&lt;&gt;"",VLOOKUP($A282,Protocolos!$A$6:$G$9997,2,FALSE),""),"Não localizado")</f>
        <v/>
      </c>
      <c r="C282" s="31" t="str">
        <f>_xlfn.IFNA(IF($A282&lt;&gt;"",VLOOKUP($A282,Protocolos!$A$6:$G$9997,7,FALSE),""),"Não localizado")</f>
        <v/>
      </c>
      <c r="D282" s="31" t="str">
        <f>_xlfn.IFNA(IF($A282&lt;&gt;"",VLOOKUP($A282,Protocolos!$A$6:$G$9997,6,FALSE),""),"Não localizado")</f>
        <v/>
      </c>
    </row>
    <row r="283" spans="2:4" x14ac:dyDescent="0.25">
      <c r="B283" s="26" t="str">
        <f>_xlfn.IFNA(IF($A283&lt;&gt;"",VLOOKUP($A283,Protocolos!$A$6:$G$9997,2,FALSE),""),"Não localizado")</f>
        <v/>
      </c>
      <c r="C283" s="31" t="str">
        <f>_xlfn.IFNA(IF($A283&lt;&gt;"",VLOOKUP($A283,Protocolos!$A$6:$G$9997,7,FALSE),""),"Não localizado")</f>
        <v/>
      </c>
      <c r="D283" s="31" t="str">
        <f>_xlfn.IFNA(IF($A283&lt;&gt;"",VLOOKUP($A283,Protocolos!$A$6:$G$9997,6,FALSE),""),"Não localizado")</f>
        <v/>
      </c>
    </row>
    <row r="284" spans="2:4" x14ac:dyDescent="0.25">
      <c r="B284" s="26" t="str">
        <f>_xlfn.IFNA(IF($A284&lt;&gt;"",VLOOKUP($A284,Protocolos!$A$6:$G$9997,2,FALSE),""),"Não localizado")</f>
        <v/>
      </c>
      <c r="C284" s="31" t="str">
        <f>_xlfn.IFNA(IF($A284&lt;&gt;"",VLOOKUP($A284,Protocolos!$A$6:$G$9997,7,FALSE),""),"Não localizado")</f>
        <v/>
      </c>
      <c r="D284" s="31" t="str">
        <f>_xlfn.IFNA(IF($A284&lt;&gt;"",VLOOKUP($A284,Protocolos!$A$6:$G$9997,6,FALSE),""),"Não localizado")</f>
        <v/>
      </c>
    </row>
    <row r="285" spans="2:4" x14ac:dyDescent="0.25">
      <c r="B285" s="26" t="str">
        <f>_xlfn.IFNA(IF($A285&lt;&gt;"",VLOOKUP($A285,Protocolos!$A$6:$G$9997,2,FALSE),""),"Não localizado")</f>
        <v/>
      </c>
      <c r="C285" s="31" t="str">
        <f>_xlfn.IFNA(IF($A285&lt;&gt;"",VLOOKUP($A285,Protocolos!$A$6:$G$9997,7,FALSE),""),"Não localizado")</f>
        <v/>
      </c>
      <c r="D285" s="31" t="str">
        <f>_xlfn.IFNA(IF($A285&lt;&gt;"",VLOOKUP($A285,Protocolos!$A$6:$G$9997,6,FALSE),""),"Não localizado")</f>
        <v/>
      </c>
    </row>
    <row r="286" spans="2:4" x14ac:dyDescent="0.25">
      <c r="B286" s="26" t="str">
        <f>_xlfn.IFNA(IF($A286&lt;&gt;"",VLOOKUP($A286,Protocolos!$A$6:$G$9997,2,FALSE),""),"Não localizado")</f>
        <v/>
      </c>
      <c r="C286" s="31" t="str">
        <f>_xlfn.IFNA(IF($A286&lt;&gt;"",VLOOKUP($A286,Protocolos!$A$6:$G$9997,7,FALSE),""),"Não localizado")</f>
        <v/>
      </c>
      <c r="D286" s="31" t="str">
        <f>_xlfn.IFNA(IF($A286&lt;&gt;"",VLOOKUP($A286,Protocolos!$A$6:$G$9997,6,FALSE),""),"Não localizado")</f>
        <v/>
      </c>
    </row>
    <row r="287" spans="2:4" x14ac:dyDescent="0.25">
      <c r="B287" s="26" t="str">
        <f>_xlfn.IFNA(IF($A287&lt;&gt;"",VLOOKUP($A287,Protocolos!$A$6:$G$9997,2,FALSE),""),"Não localizado")</f>
        <v/>
      </c>
      <c r="C287" s="31" t="str">
        <f>_xlfn.IFNA(IF($A287&lt;&gt;"",VLOOKUP($A287,Protocolos!$A$6:$G$9997,7,FALSE),""),"Não localizado")</f>
        <v/>
      </c>
      <c r="D287" s="31" t="str">
        <f>_xlfn.IFNA(IF($A287&lt;&gt;"",VLOOKUP($A287,Protocolos!$A$6:$G$9997,6,FALSE),""),"Não localizado")</f>
        <v/>
      </c>
    </row>
    <row r="288" spans="2:4" x14ac:dyDescent="0.25">
      <c r="B288" s="26" t="str">
        <f>_xlfn.IFNA(IF($A288&lt;&gt;"",VLOOKUP($A288,Protocolos!$A$6:$G$9997,2,FALSE),""),"Não localizado")</f>
        <v/>
      </c>
      <c r="C288" s="31" t="str">
        <f>_xlfn.IFNA(IF($A288&lt;&gt;"",VLOOKUP($A288,Protocolos!$A$6:$G$9997,7,FALSE),""),"Não localizado")</f>
        <v/>
      </c>
      <c r="D288" s="31" t="str">
        <f>_xlfn.IFNA(IF($A288&lt;&gt;"",VLOOKUP($A288,Protocolos!$A$6:$G$9997,6,FALSE),""),"Não localizado")</f>
        <v/>
      </c>
    </row>
    <row r="289" spans="2:4" x14ac:dyDescent="0.25">
      <c r="B289" s="26" t="str">
        <f>_xlfn.IFNA(IF($A289&lt;&gt;"",VLOOKUP($A289,Protocolos!$A$6:$G$9997,2,FALSE),""),"Não localizado")</f>
        <v/>
      </c>
      <c r="C289" s="31" t="str">
        <f>_xlfn.IFNA(IF($A289&lt;&gt;"",VLOOKUP($A289,Protocolos!$A$6:$G$9997,7,FALSE),""),"Não localizado")</f>
        <v/>
      </c>
      <c r="D289" s="31" t="str">
        <f>_xlfn.IFNA(IF($A289&lt;&gt;"",VLOOKUP($A289,Protocolos!$A$6:$G$9997,6,FALSE),""),"Não localizado")</f>
        <v/>
      </c>
    </row>
    <row r="290" spans="2:4" x14ac:dyDescent="0.25">
      <c r="B290" s="26" t="str">
        <f>_xlfn.IFNA(IF($A290&lt;&gt;"",VLOOKUP($A290,Protocolos!$A$6:$G$9997,2,FALSE),""),"Não localizado")</f>
        <v/>
      </c>
      <c r="C290" s="31" t="str">
        <f>_xlfn.IFNA(IF($A290&lt;&gt;"",VLOOKUP($A290,Protocolos!$A$6:$G$9997,7,FALSE),""),"Não localizado")</f>
        <v/>
      </c>
      <c r="D290" s="31" t="str">
        <f>_xlfn.IFNA(IF($A290&lt;&gt;"",VLOOKUP($A290,Protocolos!$A$6:$G$9997,6,FALSE),""),"Não localizado")</f>
        <v/>
      </c>
    </row>
    <row r="291" spans="2:4" x14ac:dyDescent="0.25">
      <c r="B291" s="26" t="str">
        <f>_xlfn.IFNA(IF($A291&lt;&gt;"",VLOOKUP($A291,Protocolos!$A$6:$G$9997,2,FALSE),""),"Não localizado")</f>
        <v/>
      </c>
      <c r="C291" s="31" t="str">
        <f>_xlfn.IFNA(IF($A291&lt;&gt;"",VLOOKUP($A291,Protocolos!$A$6:$G$9997,7,FALSE),""),"Não localizado")</f>
        <v/>
      </c>
      <c r="D291" s="31" t="str">
        <f>_xlfn.IFNA(IF($A291&lt;&gt;"",VLOOKUP($A291,Protocolos!$A$6:$G$9997,6,FALSE),""),"Não localizado")</f>
        <v/>
      </c>
    </row>
    <row r="292" spans="2:4" x14ac:dyDescent="0.25">
      <c r="B292" s="26" t="str">
        <f>_xlfn.IFNA(IF($A292&lt;&gt;"",VLOOKUP($A292,Protocolos!$A$6:$G$9997,2,FALSE),""),"Não localizado")</f>
        <v/>
      </c>
      <c r="C292" s="31" t="str">
        <f>_xlfn.IFNA(IF($A292&lt;&gt;"",VLOOKUP($A292,Protocolos!$A$6:$G$9997,7,FALSE),""),"Não localizado")</f>
        <v/>
      </c>
      <c r="D292" s="31" t="str">
        <f>_xlfn.IFNA(IF($A292&lt;&gt;"",VLOOKUP($A292,Protocolos!$A$6:$G$9997,6,FALSE),""),"Não localizado")</f>
        <v/>
      </c>
    </row>
    <row r="293" spans="2:4" x14ac:dyDescent="0.25">
      <c r="B293" s="26" t="str">
        <f>_xlfn.IFNA(IF($A293&lt;&gt;"",VLOOKUP($A293,Protocolos!$A$6:$G$9997,2,FALSE),""),"Não localizado")</f>
        <v/>
      </c>
      <c r="C293" s="31" t="str">
        <f>_xlfn.IFNA(IF($A293&lt;&gt;"",VLOOKUP($A293,Protocolos!$A$6:$G$9997,7,FALSE),""),"Não localizado")</f>
        <v/>
      </c>
      <c r="D293" s="31" t="str">
        <f>_xlfn.IFNA(IF($A293&lt;&gt;"",VLOOKUP($A293,Protocolos!$A$6:$G$9997,6,FALSE),""),"Não localizado")</f>
        <v/>
      </c>
    </row>
    <row r="294" spans="2:4" x14ac:dyDescent="0.25">
      <c r="B294" s="26" t="str">
        <f>_xlfn.IFNA(IF($A294&lt;&gt;"",VLOOKUP($A294,Protocolos!$A$6:$G$9997,2,FALSE),""),"Não localizado")</f>
        <v/>
      </c>
      <c r="C294" s="31" t="str">
        <f>_xlfn.IFNA(IF($A294&lt;&gt;"",VLOOKUP($A294,Protocolos!$A$6:$G$9997,7,FALSE),""),"Não localizado")</f>
        <v/>
      </c>
      <c r="D294" s="31" t="str">
        <f>_xlfn.IFNA(IF($A294&lt;&gt;"",VLOOKUP($A294,Protocolos!$A$6:$G$9997,6,FALSE),""),"Não localizado")</f>
        <v/>
      </c>
    </row>
    <row r="295" spans="2:4" x14ac:dyDescent="0.25">
      <c r="B295" s="26" t="str">
        <f>_xlfn.IFNA(IF($A295&lt;&gt;"",VLOOKUP($A295,Protocolos!$A$6:$G$9997,2,FALSE),""),"Não localizado")</f>
        <v/>
      </c>
      <c r="C295" s="31" t="str">
        <f>_xlfn.IFNA(IF($A295&lt;&gt;"",VLOOKUP($A295,Protocolos!$A$6:$G$9997,7,FALSE),""),"Não localizado")</f>
        <v/>
      </c>
      <c r="D295" s="31" t="str">
        <f>_xlfn.IFNA(IF($A295&lt;&gt;"",VLOOKUP($A295,Protocolos!$A$6:$G$9997,6,FALSE),""),"Não localizado")</f>
        <v/>
      </c>
    </row>
    <row r="296" spans="2:4" x14ac:dyDescent="0.25">
      <c r="B296" s="26" t="str">
        <f>_xlfn.IFNA(IF($A296&lt;&gt;"",VLOOKUP($A296,Protocolos!$A$6:$G$9997,2,FALSE),""),"Não localizado")</f>
        <v/>
      </c>
      <c r="C296" s="31" t="str">
        <f>_xlfn.IFNA(IF($A296&lt;&gt;"",VLOOKUP($A296,Protocolos!$A$6:$G$9997,7,FALSE),""),"Não localizado")</f>
        <v/>
      </c>
      <c r="D296" s="31" t="str">
        <f>_xlfn.IFNA(IF($A296&lt;&gt;"",VLOOKUP($A296,Protocolos!$A$6:$G$9997,6,FALSE),""),"Não localizado")</f>
        <v/>
      </c>
    </row>
    <row r="297" spans="2:4" x14ac:dyDescent="0.25">
      <c r="B297" s="26" t="str">
        <f>_xlfn.IFNA(IF($A297&lt;&gt;"",VLOOKUP($A297,Protocolos!$A$6:$G$9997,2,FALSE),""),"Não localizado")</f>
        <v/>
      </c>
      <c r="C297" s="31" t="str">
        <f>_xlfn.IFNA(IF($A297&lt;&gt;"",VLOOKUP($A297,Protocolos!$A$6:$G$9997,7,FALSE),""),"Não localizado")</f>
        <v/>
      </c>
      <c r="D297" s="31" t="str">
        <f>_xlfn.IFNA(IF($A297&lt;&gt;"",VLOOKUP($A297,Protocolos!$A$6:$G$9997,6,FALSE),""),"Não localizado")</f>
        <v/>
      </c>
    </row>
    <row r="298" spans="2:4" x14ac:dyDescent="0.25">
      <c r="B298" s="26" t="str">
        <f>_xlfn.IFNA(IF($A298&lt;&gt;"",VLOOKUP($A298,Protocolos!$A$6:$G$9997,2,FALSE),""),"Não localizado")</f>
        <v/>
      </c>
      <c r="C298" s="31" t="str">
        <f>_xlfn.IFNA(IF($A298&lt;&gt;"",VLOOKUP($A298,Protocolos!$A$6:$G$9997,7,FALSE),""),"Não localizado")</f>
        <v/>
      </c>
      <c r="D298" s="31" t="str">
        <f>_xlfn.IFNA(IF($A298&lt;&gt;"",VLOOKUP($A298,Protocolos!$A$6:$G$9997,6,FALSE),""),"Não localizado")</f>
        <v/>
      </c>
    </row>
    <row r="299" spans="2:4" x14ac:dyDescent="0.25">
      <c r="B299" s="26" t="str">
        <f>_xlfn.IFNA(IF($A299&lt;&gt;"",VLOOKUP($A299,Protocolos!$A$6:$G$9997,2,FALSE),""),"Não localizado")</f>
        <v/>
      </c>
      <c r="C299" s="31" t="str">
        <f>_xlfn.IFNA(IF($A299&lt;&gt;"",VLOOKUP($A299,Protocolos!$A$6:$G$9997,7,FALSE),""),"Não localizado")</f>
        <v/>
      </c>
      <c r="D299" s="31" t="str">
        <f>_xlfn.IFNA(IF($A299&lt;&gt;"",VLOOKUP($A299,Protocolos!$A$6:$G$9997,6,FALSE),""),"Não localizado")</f>
        <v/>
      </c>
    </row>
    <row r="300" spans="2:4" x14ac:dyDescent="0.25">
      <c r="B300" s="26" t="str">
        <f>_xlfn.IFNA(IF($A300&lt;&gt;"",VLOOKUP($A300,Protocolos!$A$6:$G$9997,2,FALSE),""),"Não localizado")</f>
        <v/>
      </c>
      <c r="C300" s="31" t="str">
        <f>_xlfn.IFNA(IF($A300&lt;&gt;"",VLOOKUP($A300,Protocolos!$A$6:$G$9997,7,FALSE),""),"Não localizado")</f>
        <v/>
      </c>
      <c r="D300" s="31" t="str">
        <f>_xlfn.IFNA(IF($A300&lt;&gt;"",VLOOKUP($A300,Protocolos!$A$6:$G$9997,6,FALSE),""),"Não localizado")</f>
        <v/>
      </c>
    </row>
    <row r="301" spans="2:4" x14ac:dyDescent="0.25">
      <c r="B301" s="26" t="str">
        <f>_xlfn.IFNA(IF($A301&lt;&gt;"",VLOOKUP($A301,Protocolos!$A$6:$G$9997,2,FALSE),""),"Não localizado")</f>
        <v/>
      </c>
      <c r="C301" s="31" t="str">
        <f>_xlfn.IFNA(IF($A301&lt;&gt;"",VLOOKUP($A301,Protocolos!$A$6:$G$9997,7,FALSE),""),"Não localizado")</f>
        <v/>
      </c>
      <c r="D301" s="31" t="str">
        <f>_xlfn.IFNA(IF($A301&lt;&gt;"",VLOOKUP($A301,Protocolos!$A$6:$G$9997,6,FALSE),""),"Não localizado")</f>
        <v/>
      </c>
    </row>
    <row r="302" spans="2:4" x14ac:dyDescent="0.25">
      <c r="B302" s="26" t="str">
        <f>_xlfn.IFNA(IF($A302&lt;&gt;"",VLOOKUP($A302,Protocolos!$A$6:$G$9997,2,FALSE),""),"Não localizado")</f>
        <v/>
      </c>
      <c r="C302" s="31" t="str">
        <f>_xlfn.IFNA(IF($A302&lt;&gt;"",VLOOKUP($A302,Protocolos!$A$6:$G$9997,7,FALSE),""),"Não localizado")</f>
        <v/>
      </c>
      <c r="D302" s="31" t="str">
        <f>_xlfn.IFNA(IF($A302&lt;&gt;"",VLOOKUP($A302,Protocolos!$A$6:$G$9997,6,FALSE),""),"Não localizado")</f>
        <v/>
      </c>
    </row>
    <row r="303" spans="2:4" x14ac:dyDescent="0.25">
      <c r="B303" s="26" t="str">
        <f>_xlfn.IFNA(IF($A303&lt;&gt;"",VLOOKUP($A303,Protocolos!$A$6:$G$9997,2,FALSE),""),"Não localizado")</f>
        <v/>
      </c>
      <c r="C303" s="31" t="str">
        <f>_xlfn.IFNA(IF($A303&lt;&gt;"",VLOOKUP($A303,Protocolos!$A$6:$G$9997,7,FALSE),""),"Não localizado")</f>
        <v/>
      </c>
      <c r="D303" s="31" t="str">
        <f>_xlfn.IFNA(IF($A303&lt;&gt;"",VLOOKUP($A303,Protocolos!$A$6:$G$9997,6,FALSE),""),"Não localizado")</f>
        <v/>
      </c>
    </row>
    <row r="304" spans="2:4" x14ac:dyDescent="0.25">
      <c r="B304" s="26" t="str">
        <f>_xlfn.IFNA(IF($A304&lt;&gt;"",VLOOKUP($A304,Protocolos!$A$6:$G$9997,2,FALSE),""),"Não localizado")</f>
        <v/>
      </c>
      <c r="C304" s="31" t="str">
        <f>_xlfn.IFNA(IF($A304&lt;&gt;"",VLOOKUP($A304,Protocolos!$A$6:$G$9997,7,FALSE),""),"Não localizado")</f>
        <v/>
      </c>
      <c r="D304" s="31" t="str">
        <f>_xlfn.IFNA(IF($A304&lt;&gt;"",VLOOKUP($A304,Protocolos!$A$6:$G$9997,6,FALSE),""),"Não localizado")</f>
        <v/>
      </c>
    </row>
    <row r="305" spans="2:4" x14ac:dyDescent="0.25">
      <c r="B305" s="26" t="str">
        <f>_xlfn.IFNA(IF($A305&lt;&gt;"",VLOOKUP($A305,Protocolos!$A$6:$G$9997,2,FALSE),""),"Não localizado")</f>
        <v/>
      </c>
      <c r="C305" s="31" t="str">
        <f>_xlfn.IFNA(IF($A305&lt;&gt;"",VLOOKUP($A305,Protocolos!$A$6:$G$9997,7,FALSE),""),"Não localizado")</f>
        <v/>
      </c>
      <c r="D305" s="31" t="str">
        <f>_xlfn.IFNA(IF($A305&lt;&gt;"",VLOOKUP($A305,Protocolos!$A$6:$G$9997,6,FALSE),""),"Não localizado")</f>
        <v/>
      </c>
    </row>
    <row r="306" spans="2:4" x14ac:dyDescent="0.25">
      <c r="B306" s="26" t="str">
        <f>_xlfn.IFNA(IF($A306&lt;&gt;"",VLOOKUP($A306,Protocolos!$A$6:$G$9997,2,FALSE),""),"Não localizado")</f>
        <v/>
      </c>
      <c r="C306" s="31" t="str">
        <f>_xlfn.IFNA(IF($A306&lt;&gt;"",VLOOKUP($A306,Protocolos!$A$6:$G$9997,7,FALSE),""),"Não localizado")</f>
        <v/>
      </c>
      <c r="D306" s="31" t="str">
        <f>_xlfn.IFNA(IF($A306&lt;&gt;"",VLOOKUP($A306,Protocolos!$A$6:$G$9997,6,FALSE),""),"Não localizado")</f>
        <v/>
      </c>
    </row>
    <row r="307" spans="2:4" x14ac:dyDescent="0.25">
      <c r="B307" s="26" t="str">
        <f>_xlfn.IFNA(IF($A307&lt;&gt;"",VLOOKUP($A307,Protocolos!$A$6:$G$9997,2,FALSE),""),"Não localizado")</f>
        <v/>
      </c>
      <c r="C307" s="31" t="str">
        <f>_xlfn.IFNA(IF($A307&lt;&gt;"",VLOOKUP($A307,Protocolos!$A$6:$G$9997,7,FALSE),""),"Não localizado")</f>
        <v/>
      </c>
      <c r="D307" s="31" t="str">
        <f>_xlfn.IFNA(IF($A307&lt;&gt;"",VLOOKUP($A307,Protocolos!$A$6:$G$9997,6,FALSE),""),"Não localizado")</f>
        <v/>
      </c>
    </row>
    <row r="308" spans="2:4" x14ac:dyDescent="0.25">
      <c r="B308" s="26" t="str">
        <f>_xlfn.IFNA(IF($A308&lt;&gt;"",VLOOKUP($A308,Protocolos!$A$6:$G$9997,2,FALSE),""),"Não localizado")</f>
        <v/>
      </c>
      <c r="C308" s="31" t="str">
        <f>_xlfn.IFNA(IF($A308&lt;&gt;"",VLOOKUP($A308,Protocolos!$A$6:$G$9997,7,FALSE),""),"Não localizado")</f>
        <v/>
      </c>
      <c r="D308" s="31" t="str">
        <f>_xlfn.IFNA(IF($A308&lt;&gt;"",VLOOKUP($A308,Protocolos!$A$6:$G$9997,6,FALSE),""),"Não localizado")</f>
        <v/>
      </c>
    </row>
    <row r="309" spans="2:4" x14ac:dyDescent="0.25">
      <c r="B309" s="26" t="str">
        <f>_xlfn.IFNA(IF($A309&lt;&gt;"",VLOOKUP($A309,Protocolos!$A$6:$G$9997,2,FALSE),""),"Não localizado")</f>
        <v/>
      </c>
      <c r="C309" s="31" t="str">
        <f>_xlfn.IFNA(IF($A309&lt;&gt;"",VLOOKUP($A309,Protocolos!$A$6:$G$9997,7,FALSE),""),"Não localizado")</f>
        <v/>
      </c>
      <c r="D309" s="31" t="str">
        <f>_xlfn.IFNA(IF($A309&lt;&gt;"",VLOOKUP($A309,Protocolos!$A$6:$G$9997,6,FALSE),""),"Não localizado")</f>
        <v/>
      </c>
    </row>
    <row r="310" spans="2:4" x14ac:dyDescent="0.25">
      <c r="B310" s="26" t="str">
        <f>_xlfn.IFNA(IF($A310&lt;&gt;"",VLOOKUP($A310,Protocolos!$A$6:$G$9997,2,FALSE),""),"Não localizado")</f>
        <v/>
      </c>
      <c r="C310" s="31" t="str">
        <f>_xlfn.IFNA(IF($A310&lt;&gt;"",VLOOKUP($A310,Protocolos!$A$6:$G$9997,7,FALSE),""),"Não localizado")</f>
        <v/>
      </c>
      <c r="D310" s="31" t="str">
        <f>_xlfn.IFNA(IF($A310&lt;&gt;"",VLOOKUP($A310,Protocolos!$A$6:$G$9997,6,FALSE),""),"Não localizado")</f>
        <v/>
      </c>
    </row>
    <row r="311" spans="2:4" x14ac:dyDescent="0.25">
      <c r="B311" s="26" t="str">
        <f>_xlfn.IFNA(IF($A311&lt;&gt;"",VLOOKUP($A311,Protocolos!$A$6:$G$9997,2,FALSE),""),"Não localizado")</f>
        <v/>
      </c>
      <c r="C311" s="31" t="str">
        <f>_xlfn.IFNA(IF($A311&lt;&gt;"",VLOOKUP($A311,Protocolos!$A$6:$G$9997,7,FALSE),""),"Não localizado")</f>
        <v/>
      </c>
      <c r="D311" s="31" t="str">
        <f>_xlfn.IFNA(IF($A311&lt;&gt;"",VLOOKUP($A311,Protocolos!$A$6:$G$9997,6,FALSE),""),"Não localizado")</f>
        <v/>
      </c>
    </row>
    <row r="312" spans="2:4" x14ac:dyDescent="0.25">
      <c r="B312" s="26" t="str">
        <f>_xlfn.IFNA(IF($A312&lt;&gt;"",VLOOKUP($A312,Protocolos!$A$6:$G$9997,2,FALSE),""),"Não localizado")</f>
        <v/>
      </c>
      <c r="C312" s="31" t="str">
        <f>_xlfn.IFNA(IF($A312&lt;&gt;"",VLOOKUP($A312,Protocolos!$A$6:$G$9997,7,FALSE),""),"Não localizado")</f>
        <v/>
      </c>
      <c r="D312" s="31" t="str">
        <f>_xlfn.IFNA(IF($A312&lt;&gt;"",VLOOKUP($A312,Protocolos!$A$6:$G$9997,6,FALSE),""),"Não localizado")</f>
        <v/>
      </c>
    </row>
    <row r="313" spans="2:4" x14ac:dyDescent="0.25">
      <c r="B313" s="26" t="str">
        <f>_xlfn.IFNA(IF($A313&lt;&gt;"",VLOOKUP($A313,Protocolos!$A$6:$G$9997,2,FALSE),""),"Não localizado")</f>
        <v/>
      </c>
      <c r="C313" s="31" t="str">
        <f>_xlfn.IFNA(IF($A313&lt;&gt;"",VLOOKUP($A313,Protocolos!$A$6:$G$9997,7,FALSE),""),"Não localizado")</f>
        <v/>
      </c>
      <c r="D313" s="31" t="str">
        <f>_xlfn.IFNA(IF($A313&lt;&gt;"",VLOOKUP($A313,Protocolos!$A$6:$G$9997,6,FALSE),""),"Não localizado")</f>
        <v/>
      </c>
    </row>
    <row r="314" spans="2:4" x14ac:dyDescent="0.25">
      <c r="B314" s="26" t="str">
        <f>_xlfn.IFNA(IF($A314&lt;&gt;"",VLOOKUP($A314,Protocolos!$A$6:$G$9997,2,FALSE),""),"Não localizado")</f>
        <v/>
      </c>
      <c r="C314" s="31" t="str">
        <f>_xlfn.IFNA(IF($A314&lt;&gt;"",VLOOKUP($A314,Protocolos!$A$6:$G$9997,7,FALSE),""),"Não localizado")</f>
        <v/>
      </c>
      <c r="D314" s="31" t="str">
        <f>_xlfn.IFNA(IF($A314&lt;&gt;"",VLOOKUP($A314,Protocolos!$A$6:$G$9997,6,FALSE),""),"Não localizado")</f>
        <v/>
      </c>
    </row>
    <row r="315" spans="2:4" x14ac:dyDescent="0.25">
      <c r="B315" s="26" t="str">
        <f>_xlfn.IFNA(IF($A315&lt;&gt;"",VLOOKUP($A315,Protocolos!$A$6:$G$9997,2,FALSE),""),"Não localizado")</f>
        <v/>
      </c>
      <c r="C315" s="31" t="str">
        <f>_xlfn.IFNA(IF($A315&lt;&gt;"",VLOOKUP($A315,Protocolos!$A$6:$G$9997,7,FALSE),""),"Não localizado")</f>
        <v/>
      </c>
      <c r="D315" s="31" t="str">
        <f>_xlfn.IFNA(IF($A315&lt;&gt;"",VLOOKUP($A315,Protocolos!$A$6:$G$9997,6,FALSE),""),"Não localizado")</f>
        <v/>
      </c>
    </row>
    <row r="316" spans="2:4" x14ac:dyDescent="0.25">
      <c r="B316" s="26" t="str">
        <f>_xlfn.IFNA(IF($A316&lt;&gt;"",VLOOKUP($A316,Protocolos!$A$6:$G$9997,2,FALSE),""),"Não localizado")</f>
        <v/>
      </c>
      <c r="C316" s="31" t="str">
        <f>_xlfn.IFNA(IF($A316&lt;&gt;"",VLOOKUP($A316,Protocolos!$A$6:$G$9997,7,FALSE),""),"Não localizado")</f>
        <v/>
      </c>
      <c r="D316" s="31" t="str">
        <f>_xlfn.IFNA(IF($A316&lt;&gt;"",VLOOKUP($A316,Protocolos!$A$6:$G$9997,6,FALSE),""),"Não localizado")</f>
        <v/>
      </c>
    </row>
    <row r="317" spans="2:4" x14ac:dyDescent="0.25">
      <c r="B317" s="26" t="str">
        <f>_xlfn.IFNA(IF($A317&lt;&gt;"",VLOOKUP($A317,Protocolos!$A$6:$G$9997,2,FALSE),""),"Não localizado")</f>
        <v/>
      </c>
      <c r="C317" s="31" t="str">
        <f>_xlfn.IFNA(IF($A317&lt;&gt;"",VLOOKUP($A317,Protocolos!$A$6:$G$9997,7,FALSE),""),"Não localizado")</f>
        <v/>
      </c>
      <c r="D317" s="31" t="str">
        <f>_xlfn.IFNA(IF($A317&lt;&gt;"",VLOOKUP($A317,Protocolos!$A$6:$G$9997,6,FALSE),""),"Não localizado")</f>
        <v/>
      </c>
    </row>
    <row r="318" spans="2:4" x14ac:dyDescent="0.25">
      <c r="B318" s="26" t="str">
        <f>_xlfn.IFNA(IF($A318&lt;&gt;"",VLOOKUP($A318,Protocolos!$A$6:$G$9997,2,FALSE),""),"Não localizado")</f>
        <v/>
      </c>
      <c r="C318" s="31" t="str">
        <f>_xlfn.IFNA(IF($A318&lt;&gt;"",VLOOKUP($A318,Protocolos!$A$6:$G$9997,7,FALSE),""),"Não localizado")</f>
        <v/>
      </c>
      <c r="D318" s="31" t="str">
        <f>_xlfn.IFNA(IF($A318&lt;&gt;"",VLOOKUP($A318,Protocolos!$A$6:$G$9997,6,FALSE),""),"Não localizado")</f>
        <v/>
      </c>
    </row>
    <row r="319" spans="2:4" x14ac:dyDescent="0.25">
      <c r="B319" s="26" t="str">
        <f>_xlfn.IFNA(IF($A319&lt;&gt;"",VLOOKUP($A319,Protocolos!$A$6:$G$9997,2,FALSE),""),"Não localizado")</f>
        <v/>
      </c>
      <c r="C319" s="31" t="str">
        <f>_xlfn.IFNA(IF($A319&lt;&gt;"",VLOOKUP($A319,Protocolos!$A$6:$G$9997,7,FALSE),""),"Não localizado")</f>
        <v/>
      </c>
      <c r="D319" s="31" t="str">
        <f>_xlfn.IFNA(IF($A319&lt;&gt;"",VLOOKUP($A319,Protocolos!$A$6:$G$9997,6,FALSE),""),"Não localizado")</f>
        <v/>
      </c>
    </row>
    <row r="320" spans="2:4" x14ac:dyDescent="0.25">
      <c r="B320" s="26" t="str">
        <f>_xlfn.IFNA(IF($A320&lt;&gt;"",VLOOKUP($A320,Protocolos!$A$6:$G$9997,2,FALSE),""),"Não localizado")</f>
        <v/>
      </c>
      <c r="C320" s="31" t="str">
        <f>_xlfn.IFNA(IF($A320&lt;&gt;"",VLOOKUP($A320,Protocolos!$A$6:$G$9997,7,FALSE),""),"Não localizado")</f>
        <v/>
      </c>
      <c r="D320" s="31" t="str">
        <f>_xlfn.IFNA(IF($A320&lt;&gt;"",VLOOKUP($A320,Protocolos!$A$6:$G$9997,6,FALSE),""),"Não localizado")</f>
        <v/>
      </c>
    </row>
    <row r="321" spans="2:4" x14ac:dyDescent="0.25">
      <c r="B321" s="26" t="str">
        <f>_xlfn.IFNA(IF($A321&lt;&gt;"",VLOOKUP($A321,Protocolos!$A$6:$G$9997,2,FALSE),""),"Não localizado")</f>
        <v/>
      </c>
      <c r="C321" s="31" t="str">
        <f>_xlfn.IFNA(IF($A321&lt;&gt;"",VLOOKUP($A321,Protocolos!$A$6:$G$9997,7,FALSE),""),"Não localizado")</f>
        <v/>
      </c>
      <c r="D321" s="31" t="str">
        <f>_xlfn.IFNA(IF($A321&lt;&gt;"",VLOOKUP($A321,Protocolos!$A$6:$G$9997,6,FALSE),""),"Não localizado")</f>
        <v/>
      </c>
    </row>
    <row r="322" spans="2:4" x14ac:dyDescent="0.25">
      <c r="B322" s="26" t="str">
        <f>_xlfn.IFNA(IF($A322&lt;&gt;"",VLOOKUP($A322,Protocolos!$A$6:$G$9997,2,FALSE),""),"Não localizado")</f>
        <v/>
      </c>
      <c r="C322" s="31" t="str">
        <f>_xlfn.IFNA(IF($A322&lt;&gt;"",VLOOKUP($A322,Protocolos!$A$6:$G$9997,7,FALSE),""),"Não localizado")</f>
        <v/>
      </c>
      <c r="D322" s="31" t="str">
        <f>_xlfn.IFNA(IF($A322&lt;&gt;"",VLOOKUP($A322,Protocolos!$A$6:$G$9997,6,FALSE),""),"Não localizado")</f>
        <v/>
      </c>
    </row>
    <row r="323" spans="2:4" x14ac:dyDescent="0.25">
      <c r="B323" s="26" t="str">
        <f>_xlfn.IFNA(IF($A323&lt;&gt;"",VLOOKUP($A323,Protocolos!$A$6:$G$9997,2,FALSE),""),"Não localizado")</f>
        <v/>
      </c>
      <c r="C323" s="31" t="str">
        <f>_xlfn.IFNA(IF($A323&lt;&gt;"",VLOOKUP($A323,Protocolos!$A$6:$G$9997,7,FALSE),""),"Não localizado")</f>
        <v/>
      </c>
      <c r="D323" s="31" t="str">
        <f>_xlfn.IFNA(IF($A323&lt;&gt;"",VLOOKUP($A323,Protocolos!$A$6:$G$9997,6,FALSE),""),"Não localizado")</f>
        <v/>
      </c>
    </row>
    <row r="324" spans="2:4" x14ac:dyDescent="0.25">
      <c r="B324" s="26" t="str">
        <f>_xlfn.IFNA(IF($A324&lt;&gt;"",VLOOKUP($A324,Protocolos!$A$6:$G$9997,2,FALSE),""),"Não localizado")</f>
        <v/>
      </c>
      <c r="C324" s="31" t="str">
        <f>_xlfn.IFNA(IF($A324&lt;&gt;"",VLOOKUP($A324,Protocolos!$A$6:$G$9997,7,FALSE),""),"Não localizado")</f>
        <v/>
      </c>
      <c r="D324" s="31" t="str">
        <f>_xlfn.IFNA(IF($A324&lt;&gt;"",VLOOKUP($A324,Protocolos!$A$6:$G$9997,6,FALSE),""),"Não localizado")</f>
        <v/>
      </c>
    </row>
    <row r="325" spans="2:4" x14ac:dyDescent="0.25">
      <c r="B325" s="26" t="str">
        <f>_xlfn.IFNA(IF($A325&lt;&gt;"",VLOOKUP($A325,Protocolos!$A$6:$G$9997,2,FALSE),""),"Não localizado")</f>
        <v/>
      </c>
      <c r="C325" s="31" t="str">
        <f>_xlfn.IFNA(IF($A325&lt;&gt;"",VLOOKUP($A325,Protocolos!$A$6:$G$9997,7,FALSE),""),"Não localizado")</f>
        <v/>
      </c>
      <c r="D325" s="31" t="str">
        <f>_xlfn.IFNA(IF($A325&lt;&gt;"",VLOOKUP($A325,Protocolos!$A$6:$G$9997,6,FALSE),""),"Não localizado")</f>
        <v/>
      </c>
    </row>
    <row r="326" spans="2:4" x14ac:dyDescent="0.25">
      <c r="B326" s="26" t="str">
        <f>_xlfn.IFNA(IF($A326&lt;&gt;"",VLOOKUP($A326,Protocolos!$A$6:$G$9997,2,FALSE),""),"Não localizado")</f>
        <v/>
      </c>
      <c r="C326" s="31" t="str">
        <f>_xlfn.IFNA(IF($A326&lt;&gt;"",VLOOKUP($A326,Protocolos!$A$6:$G$9997,7,FALSE),""),"Não localizado")</f>
        <v/>
      </c>
      <c r="D326" s="31" t="str">
        <f>_xlfn.IFNA(IF($A326&lt;&gt;"",VLOOKUP($A326,Protocolos!$A$6:$G$9997,6,FALSE),""),"Não localizado")</f>
        <v/>
      </c>
    </row>
    <row r="327" spans="2:4" x14ac:dyDescent="0.25">
      <c r="B327" s="26" t="str">
        <f>_xlfn.IFNA(IF($A327&lt;&gt;"",VLOOKUP($A327,Protocolos!$A$6:$G$9997,2,FALSE),""),"Não localizado")</f>
        <v/>
      </c>
      <c r="C327" s="31" t="str">
        <f>_xlfn.IFNA(IF($A327&lt;&gt;"",VLOOKUP($A327,Protocolos!$A$6:$G$9997,7,FALSE),""),"Não localizado")</f>
        <v/>
      </c>
      <c r="D327" s="31" t="str">
        <f>_xlfn.IFNA(IF($A327&lt;&gt;"",VLOOKUP($A327,Protocolos!$A$6:$G$9997,6,FALSE),""),"Não localizado")</f>
        <v/>
      </c>
    </row>
    <row r="328" spans="2:4" x14ac:dyDescent="0.25">
      <c r="B328" s="26" t="str">
        <f>_xlfn.IFNA(IF($A328&lt;&gt;"",VLOOKUP($A328,Protocolos!$A$6:$G$9997,2,FALSE),""),"Não localizado")</f>
        <v/>
      </c>
      <c r="C328" s="31" t="str">
        <f>_xlfn.IFNA(IF($A328&lt;&gt;"",VLOOKUP($A328,Protocolos!$A$6:$G$9997,7,FALSE),""),"Não localizado")</f>
        <v/>
      </c>
      <c r="D328" s="31" t="str">
        <f>_xlfn.IFNA(IF($A328&lt;&gt;"",VLOOKUP($A328,Protocolos!$A$6:$G$9997,6,FALSE),""),"Não localizado")</f>
        <v/>
      </c>
    </row>
    <row r="329" spans="2:4" x14ac:dyDescent="0.25">
      <c r="B329" s="26" t="str">
        <f>_xlfn.IFNA(IF($A329&lt;&gt;"",VLOOKUP($A329,Protocolos!$A$6:$G$9997,2,FALSE),""),"Não localizado")</f>
        <v/>
      </c>
      <c r="C329" s="31" t="str">
        <f>_xlfn.IFNA(IF($A329&lt;&gt;"",VLOOKUP($A329,Protocolos!$A$6:$G$9997,7,FALSE),""),"Não localizado")</f>
        <v/>
      </c>
      <c r="D329" s="31" t="str">
        <f>_xlfn.IFNA(IF($A329&lt;&gt;"",VLOOKUP($A329,Protocolos!$A$6:$G$9997,6,FALSE),""),"Não localizado")</f>
        <v/>
      </c>
    </row>
    <row r="330" spans="2:4" x14ac:dyDescent="0.25">
      <c r="B330" s="26" t="str">
        <f>_xlfn.IFNA(IF($A330&lt;&gt;"",VLOOKUP($A330,Protocolos!$A$6:$G$9997,2,FALSE),""),"Não localizado")</f>
        <v/>
      </c>
      <c r="C330" s="31" t="str">
        <f>_xlfn.IFNA(IF($A330&lt;&gt;"",VLOOKUP($A330,Protocolos!$A$6:$G$9997,7,FALSE),""),"Não localizado")</f>
        <v/>
      </c>
      <c r="D330" s="31" t="str">
        <f>_xlfn.IFNA(IF($A330&lt;&gt;"",VLOOKUP($A330,Protocolos!$A$6:$G$9997,6,FALSE),""),"Não localizado")</f>
        <v/>
      </c>
    </row>
    <row r="331" spans="2:4" x14ac:dyDescent="0.25">
      <c r="B331" s="26" t="str">
        <f>_xlfn.IFNA(IF($A331&lt;&gt;"",VLOOKUP($A331,Protocolos!$A$6:$G$9997,2,FALSE),""),"Não localizado")</f>
        <v/>
      </c>
      <c r="C331" s="31" t="str">
        <f>_xlfn.IFNA(IF($A331&lt;&gt;"",VLOOKUP($A331,Protocolos!$A$6:$G$9997,7,FALSE),""),"Não localizado")</f>
        <v/>
      </c>
      <c r="D331" s="31" t="str">
        <f>_xlfn.IFNA(IF($A331&lt;&gt;"",VLOOKUP($A331,Protocolos!$A$6:$G$9997,6,FALSE),""),"Não localizado")</f>
        <v/>
      </c>
    </row>
    <row r="332" spans="2:4" x14ac:dyDescent="0.25">
      <c r="B332" s="26" t="str">
        <f>_xlfn.IFNA(IF($A332&lt;&gt;"",VLOOKUP($A332,Protocolos!$A$6:$G$9997,2,FALSE),""),"Não localizado")</f>
        <v/>
      </c>
      <c r="C332" s="31" t="str">
        <f>_xlfn.IFNA(IF($A332&lt;&gt;"",VLOOKUP($A332,Protocolos!$A$6:$G$9997,7,FALSE),""),"Não localizado")</f>
        <v/>
      </c>
      <c r="D332" s="31" t="str">
        <f>_xlfn.IFNA(IF($A332&lt;&gt;"",VLOOKUP($A332,Protocolos!$A$6:$G$9997,6,FALSE),""),"Não localizado")</f>
        <v/>
      </c>
    </row>
    <row r="333" spans="2:4" x14ac:dyDescent="0.25">
      <c r="B333" s="26" t="str">
        <f>_xlfn.IFNA(IF($A333&lt;&gt;"",VLOOKUP($A333,Protocolos!$A$6:$G$9997,2,FALSE),""),"Não localizado")</f>
        <v/>
      </c>
      <c r="C333" s="31" t="str">
        <f>_xlfn.IFNA(IF($A333&lt;&gt;"",VLOOKUP($A333,Protocolos!$A$6:$G$9997,7,FALSE),""),"Não localizado")</f>
        <v/>
      </c>
      <c r="D333" s="31" t="str">
        <f>_xlfn.IFNA(IF($A333&lt;&gt;"",VLOOKUP($A333,Protocolos!$A$6:$G$9997,6,FALSE),""),"Não localizado")</f>
        <v/>
      </c>
    </row>
    <row r="334" spans="2:4" x14ac:dyDescent="0.25">
      <c r="B334" s="26" t="str">
        <f>_xlfn.IFNA(IF($A334&lt;&gt;"",VLOOKUP($A334,Protocolos!$A$6:$G$9997,2,FALSE),""),"Não localizado")</f>
        <v/>
      </c>
      <c r="C334" s="31" t="str">
        <f>_xlfn.IFNA(IF($A334&lt;&gt;"",VLOOKUP($A334,Protocolos!$A$6:$G$9997,7,FALSE),""),"Não localizado")</f>
        <v/>
      </c>
      <c r="D334" s="31" t="str">
        <f>_xlfn.IFNA(IF($A334&lt;&gt;"",VLOOKUP($A334,Protocolos!$A$6:$G$9997,6,FALSE),""),"Não localizado")</f>
        <v/>
      </c>
    </row>
    <row r="335" spans="2:4" x14ac:dyDescent="0.25">
      <c r="B335" s="26" t="str">
        <f>_xlfn.IFNA(IF($A335&lt;&gt;"",VLOOKUP($A335,Protocolos!$A$6:$G$9997,2,FALSE),""),"Não localizado")</f>
        <v/>
      </c>
      <c r="C335" s="31" t="str">
        <f>_xlfn.IFNA(IF($A335&lt;&gt;"",VLOOKUP($A335,Protocolos!$A$6:$G$9997,7,FALSE),""),"Não localizado")</f>
        <v/>
      </c>
      <c r="D335" s="31" t="str">
        <f>_xlfn.IFNA(IF($A335&lt;&gt;"",VLOOKUP($A335,Protocolos!$A$6:$G$9997,6,FALSE),""),"Não localizado")</f>
        <v/>
      </c>
    </row>
    <row r="336" spans="2:4" x14ac:dyDescent="0.25">
      <c r="B336" s="26" t="str">
        <f>_xlfn.IFNA(IF($A336&lt;&gt;"",VLOOKUP($A336,Protocolos!$A$6:$G$9997,2,FALSE),""),"Não localizado")</f>
        <v/>
      </c>
      <c r="C336" s="31" t="str">
        <f>_xlfn.IFNA(IF($A336&lt;&gt;"",VLOOKUP($A336,Protocolos!$A$6:$G$9997,7,FALSE),""),"Não localizado")</f>
        <v/>
      </c>
      <c r="D336" s="31" t="str">
        <f>_xlfn.IFNA(IF($A336&lt;&gt;"",VLOOKUP($A336,Protocolos!$A$6:$G$9997,6,FALSE),""),"Não localizado")</f>
        <v/>
      </c>
    </row>
    <row r="337" spans="2:4" x14ac:dyDescent="0.25">
      <c r="B337" s="26" t="str">
        <f>_xlfn.IFNA(IF($A337&lt;&gt;"",VLOOKUP($A337,Protocolos!$A$6:$G$9997,2,FALSE),""),"Não localizado")</f>
        <v/>
      </c>
      <c r="C337" s="31" t="str">
        <f>_xlfn.IFNA(IF($A337&lt;&gt;"",VLOOKUP($A337,Protocolos!$A$6:$G$9997,7,FALSE),""),"Não localizado")</f>
        <v/>
      </c>
      <c r="D337" s="31" t="str">
        <f>_xlfn.IFNA(IF($A337&lt;&gt;"",VLOOKUP($A337,Protocolos!$A$6:$G$9997,6,FALSE),""),"Não localizado")</f>
        <v/>
      </c>
    </row>
    <row r="338" spans="2:4" x14ac:dyDescent="0.25">
      <c r="B338" s="26" t="str">
        <f>_xlfn.IFNA(IF($A338&lt;&gt;"",VLOOKUP($A338,Protocolos!$A$6:$G$9997,2,FALSE),""),"Não localizado")</f>
        <v/>
      </c>
      <c r="C338" s="31" t="str">
        <f>_xlfn.IFNA(IF($A338&lt;&gt;"",VLOOKUP($A338,Protocolos!$A$6:$G$9997,7,FALSE),""),"Não localizado")</f>
        <v/>
      </c>
      <c r="D338" s="31" t="str">
        <f>_xlfn.IFNA(IF($A338&lt;&gt;"",VLOOKUP($A338,Protocolos!$A$6:$G$9997,6,FALSE),""),"Não localizado")</f>
        <v/>
      </c>
    </row>
    <row r="339" spans="2:4" x14ac:dyDescent="0.25">
      <c r="B339" s="26" t="str">
        <f>_xlfn.IFNA(IF($A339&lt;&gt;"",VLOOKUP($A339,Protocolos!$A$6:$G$9997,2,FALSE),""),"Não localizado")</f>
        <v/>
      </c>
      <c r="C339" s="31" t="str">
        <f>_xlfn.IFNA(IF($A339&lt;&gt;"",VLOOKUP($A339,Protocolos!$A$6:$G$9997,7,FALSE),""),"Não localizado")</f>
        <v/>
      </c>
      <c r="D339" s="31" t="str">
        <f>_xlfn.IFNA(IF($A339&lt;&gt;"",VLOOKUP($A339,Protocolos!$A$6:$G$9997,6,FALSE),""),"Não localizado")</f>
        <v/>
      </c>
    </row>
    <row r="340" spans="2:4" x14ac:dyDescent="0.25">
      <c r="B340" s="26" t="str">
        <f>_xlfn.IFNA(IF($A340&lt;&gt;"",VLOOKUP($A340,Protocolos!$A$6:$G$9997,2,FALSE),""),"Não localizado")</f>
        <v/>
      </c>
      <c r="C340" s="31" t="str">
        <f>_xlfn.IFNA(IF($A340&lt;&gt;"",VLOOKUP($A340,Protocolos!$A$6:$G$9997,7,FALSE),""),"Não localizado")</f>
        <v/>
      </c>
      <c r="D340" s="31" t="str">
        <f>_xlfn.IFNA(IF($A340&lt;&gt;"",VLOOKUP($A340,Protocolos!$A$6:$G$9997,6,FALSE),""),"Não localizado")</f>
        <v/>
      </c>
    </row>
    <row r="341" spans="2:4" x14ac:dyDescent="0.25">
      <c r="B341" s="26" t="str">
        <f>_xlfn.IFNA(IF($A341&lt;&gt;"",VLOOKUP($A341,Protocolos!$A$6:$G$9997,2,FALSE),""),"Não localizado")</f>
        <v/>
      </c>
      <c r="C341" s="31" t="str">
        <f>_xlfn.IFNA(IF($A341&lt;&gt;"",VLOOKUP($A341,Protocolos!$A$6:$G$9997,7,FALSE),""),"Não localizado")</f>
        <v/>
      </c>
      <c r="D341" s="31" t="str">
        <f>_xlfn.IFNA(IF($A341&lt;&gt;"",VLOOKUP($A341,Protocolos!$A$6:$G$9997,6,FALSE),""),"Não localizado")</f>
        <v/>
      </c>
    </row>
    <row r="342" spans="2:4" x14ac:dyDescent="0.25">
      <c r="B342" s="26" t="str">
        <f>_xlfn.IFNA(IF($A342&lt;&gt;"",VLOOKUP($A342,Protocolos!$A$6:$G$9997,2,FALSE),""),"Não localizado")</f>
        <v/>
      </c>
      <c r="C342" s="31" t="str">
        <f>_xlfn.IFNA(IF($A342&lt;&gt;"",VLOOKUP($A342,Protocolos!$A$6:$G$9997,7,FALSE),""),"Não localizado")</f>
        <v/>
      </c>
      <c r="D342" s="31" t="str">
        <f>_xlfn.IFNA(IF($A342&lt;&gt;"",VLOOKUP($A342,Protocolos!$A$6:$G$9997,6,FALSE),""),"Não localizado")</f>
        <v/>
      </c>
    </row>
    <row r="343" spans="2:4" x14ac:dyDescent="0.25">
      <c r="B343" s="26" t="str">
        <f>_xlfn.IFNA(IF($A343&lt;&gt;"",VLOOKUP($A343,Protocolos!$A$6:$G$9997,2,FALSE),""),"Não localizado")</f>
        <v/>
      </c>
      <c r="C343" s="31" t="str">
        <f>_xlfn.IFNA(IF($A343&lt;&gt;"",VLOOKUP($A343,Protocolos!$A$6:$G$9997,7,FALSE),""),"Não localizado")</f>
        <v/>
      </c>
      <c r="D343" s="31" t="str">
        <f>_xlfn.IFNA(IF($A343&lt;&gt;"",VLOOKUP($A343,Protocolos!$A$6:$G$9997,6,FALSE),""),"Não localizado")</f>
        <v/>
      </c>
    </row>
    <row r="344" spans="2:4" x14ac:dyDescent="0.25">
      <c r="B344" s="26" t="str">
        <f>_xlfn.IFNA(IF($A344&lt;&gt;"",VLOOKUP($A344,Protocolos!$A$6:$G$9997,2,FALSE),""),"Não localizado")</f>
        <v/>
      </c>
      <c r="C344" s="31" t="str">
        <f>_xlfn.IFNA(IF($A344&lt;&gt;"",VLOOKUP($A344,Protocolos!$A$6:$G$9997,7,FALSE),""),"Não localizado")</f>
        <v/>
      </c>
      <c r="D344" s="31" t="str">
        <f>_xlfn.IFNA(IF($A344&lt;&gt;"",VLOOKUP($A344,Protocolos!$A$6:$G$9997,6,FALSE),""),"Não localizado")</f>
        <v/>
      </c>
    </row>
    <row r="345" spans="2:4" x14ac:dyDescent="0.25">
      <c r="B345" s="26" t="str">
        <f>_xlfn.IFNA(IF($A345&lt;&gt;"",VLOOKUP($A345,Protocolos!$A$6:$G$9997,2,FALSE),""),"Não localizado")</f>
        <v/>
      </c>
      <c r="C345" s="31" t="str">
        <f>_xlfn.IFNA(IF($A345&lt;&gt;"",VLOOKUP($A345,Protocolos!$A$6:$G$9997,7,FALSE),""),"Não localizado")</f>
        <v/>
      </c>
      <c r="D345" s="31" t="str">
        <f>_xlfn.IFNA(IF($A345&lt;&gt;"",VLOOKUP($A345,Protocolos!$A$6:$G$9997,6,FALSE),""),"Não localizado")</f>
        <v/>
      </c>
    </row>
    <row r="346" spans="2:4" x14ac:dyDescent="0.25">
      <c r="B346" s="26" t="str">
        <f>_xlfn.IFNA(IF($A346&lt;&gt;"",VLOOKUP($A346,Protocolos!$A$6:$G$9997,2,FALSE),""),"Não localizado")</f>
        <v/>
      </c>
      <c r="C346" s="31" t="str">
        <f>_xlfn.IFNA(IF($A346&lt;&gt;"",VLOOKUP($A346,Protocolos!$A$6:$G$9997,7,FALSE),""),"Não localizado")</f>
        <v/>
      </c>
      <c r="D346" s="31" t="str">
        <f>_xlfn.IFNA(IF($A346&lt;&gt;"",VLOOKUP($A346,Protocolos!$A$6:$G$9997,6,FALSE),""),"Não localizado")</f>
        <v/>
      </c>
    </row>
    <row r="347" spans="2:4" x14ac:dyDescent="0.25">
      <c r="B347" s="26" t="str">
        <f>_xlfn.IFNA(IF($A347&lt;&gt;"",VLOOKUP($A347,Protocolos!$A$6:$G$9997,2,FALSE),""),"Não localizado")</f>
        <v/>
      </c>
      <c r="C347" s="31" t="str">
        <f>_xlfn.IFNA(IF($A347&lt;&gt;"",VLOOKUP($A347,Protocolos!$A$6:$G$9997,7,FALSE),""),"Não localizado")</f>
        <v/>
      </c>
      <c r="D347" s="31" t="str">
        <f>_xlfn.IFNA(IF($A347&lt;&gt;"",VLOOKUP($A347,Protocolos!$A$6:$G$9997,6,FALSE),""),"Não localizado")</f>
        <v/>
      </c>
    </row>
    <row r="348" spans="2:4" x14ac:dyDescent="0.25">
      <c r="B348" s="26" t="str">
        <f>_xlfn.IFNA(IF($A348&lt;&gt;"",VLOOKUP($A348,Protocolos!$A$6:$G$9997,2,FALSE),""),"Não localizado")</f>
        <v/>
      </c>
      <c r="C348" s="31" t="str">
        <f>_xlfn.IFNA(IF($A348&lt;&gt;"",VLOOKUP($A348,Protocolos!$A$6:$G$9997,7,FALSE),""),"Não localizado")</f>
        <v/>
      </c>
      <c r="D348" s="31" t="str">
        <f>_xlfn.IFNA(IF($A348&lt;&gt;"",VLOOKUP($A348,Protocolos!$A$6:$G$9997,6,FALSE),""),"Não localizado")</f>
        <v/>
      </c>
    </row>
    <row r="349" spans="2:4" x14ac:dyDescent="0.25">
      <c r="B349" s="26" t="str">
        <f>_xlfn.IFNA(IF($A349&lt;&gt;"",VLOOKUP($A349,Protocolos!$A$6:$G$9997,2,FALSE),""),"Não localizado")</f>
        <v/>
      </c>
      <c r="C349" s="31" t="str">
        <f>_xlfn.IFNA(IF($A349&lt;&gt;"",VLOOKUP($A349,Protocolos!$A$6:$G$9997,7,FALSE),""),"Não localizado")</f>
        <v/>
      </c>
      <c r="D349" s="31" t="str">
        <f>_xlfn.IFNA(IF($A349&lt;&gt;"",VLOOKUP($A349,Protocolos!$A$6:$G$9997,6,FALSE),""),"Não localizado")</f>
        <v/>
      </c>
    </row>
    <row r="350" spans="2:4" x14ac:dyDescent="0.25">
      <c r="B350" s="26" t="str">
        <f>_xlfn.IFNA(IF($A350&lt;&gt;"",VLOOKUP($A350,Protocolos!$A$6:$G$9997,2,FALSE),""),"Não localizado")</f>
        <v/>
      </c>
      <c r="C350" s="31" t="str">
        <f>_xlfn.IFNA(IF($A350&lt;&gt;"",VLOOKUP($A350,Protocolos!$A$6:$G$9997,7,FALSE),""),"Não localizado")</f>
        <v/>
      </c>
      <c r="D350" s="31" t="str">
        <f>_xlfn.IFNA(IF($A350&lt;&gt;"",VLOOKUP($A350,Protocolos!$A$6:$G$9997,6,FALSE),""),"Não localizado")</f>
        <v/>
      </c>
    </row>
    <row r="351" spans="2:4" x14ac:dyDescent="0.25">
      <c r="B351" s="26" t="str">
        <f>_xlfn.IFNA(IF($A351&lt;&gt;"",VLOOKUP($A351,Protocolos!$A$6:$G$9997,2,FALSE),""),"Não localizado")</f>
        <v/>
      </c>
      <c r="C351" s="31" t="str">
        <f>_xlfn.IFNA(IF($A351&lt;&gt;"",VLOOKUP($A351,Protocolos!$A$6:$G$9997,7,FALSE),""),"Não localizado")</f>
        <v/>
      </c>
      <c r="D351" s="31" t="str">
        <f>_xlfn.IFNA(IF($A351&lt;&gt;"",VLOOKUP($A351,Protocolos!$A$6:$G$9997,6,FALSE),""),"Não localizado")</f>
        <v/>
      </c>
    </row>
    <row r="352" spans="2:4" x14ac:dyDescent="0.25">
      <c r="B352" s="26" t="str">
        <f>_xlfn.IFNA(IF($A352&lt;&gt;"",VLOOKUP($A352,Protocolos!$A$6:$G$9997,2,FALSE),""),"Não localizado")</f>
        <v/>
      </c>
      <c r="C352" s="31" t="str">
        <f>_xlfn.IFNA(IF($A352&lt;&gt;"",VLOOKUP($A352,Protocolos!$A$6:$G$9997,7,FALSE),""),"Não localizado")</f>
        <v/>
      </c>
      <c r="D352" s="31" t="str">
        <f>_xlfn.IFNA(IF($A352&lt;&gt;"",VLOOKUP($A352,Protocolos!$A$6:$G$9997,6,FALSE),""),"Não localizado")</f>
        <v/>
      </c>
    </row>
    <row r="353" spans="2:4" x14ac:dyDescent="0.25">
      <c r="B353" s="26" t="str">
        <f>_xlfn.IFNA(IF($A353&lt;&gt;"",VLOOKUP($A353,Protocolos!$A$6:$G$9997,2,FALSE),""),"Não localizado")</f>
        <v/>
      </c>
      <c r="C353" s="31" t="str">
        <f>_xlfn.IFNA(IF($A353&lt;&gt;"",VLOOKUP($A353,Protocolos!$A$6:$G$9997,7,FALSE),""),"Não localizado")</f>
        <v/>
      </c>
      <c r="D353" s="31" t="str">
        <f>_xlfn.IFNA(IF($A353&lt;&gt;"",VLOOKUP($A353,Protocolos!$A$6:$G$9997,6,FALSE),""),"Não localizado")</f>
        <v/>
      </c>
    </row>
    <row r="354" spans="2:4" x14ac:dyDescent="0.25">
      <c r="B354" s="26" t="str">
        <f>_xlfn.IFNA(IF($A354&lt;&gt;"",VLOOKUP($A354,Protocolos!$A$6:$G$9997,2,FALSE),""),"Não localizado")</f>
        <v/>
      </c>
      <c r="C354" s="31" t="str">
        <f>_xlfn.IFNA(IF($A354&lt;&gt;"",VLOOKUP($A354,Protocolos!$A$6:$G$9997,7,FALSE),""),"Não localizado")</f>
        <v/>
      </c>
      <c r="D354" s="31" t="str">
        <f>_xlfn.IFNA(IF($A354&lt;&gt;"",VLOOKUP($A354,Protocolos!$A$6:$G$9997,6,FALSE),""),"Não localizado")</f>
        <v/>
      </c>
    </row>
    <row r="355" spans="2:4" x14ac:dyDescent="0.25">
      <c r="B355" s="26" t="str">
        <f>_xlfn.IFNA(IF($A355&lt;&gt;"",VLOOKUP($A355,Protocolos!$A$6:$G$9997,2,FALSE),""),"Não localizado")</f>
        <v/>
      </c>
      <c r="C355" s="31" t="str">
        <f>_xlfn.IFNA(IF($A355&lt;&gt;"",VLOOKUP($A355,Protocolos!$A$6:$G$9997,7,FALSE),""),"Não localizado")</f>
        <v/>
      </c>
      <c r="D355" s="31" t="str">
        <f>_xlfn.IFNA(IF($A355&lt;&gt;"",VLOOKUP($A355,Protocolos!$A$6:$G$9997,6,FALSE),""),"Não localizado")</f>
        <v/>
      </c>
    </row>
    <row r="356" spans="2:4" x14ac:dyDescent="0.25">
      <c r="B356" s="26" t="str">
        <f>_xlfn.IFNA(IF($A356&lt;&gt;"",VLOOKUP($A356,Protocolos!$A$6:$G$9997,2,FALSE),""),"Não localizado")</f>
        <v/>
      </c>
      <c r="C356" s="31" t="str">
        <f>_xlfn.IFNA(IF($A356&lt;&gt;"",VLOOKUP($A356,Protocolos!$A$6:$G$9997,7,FALSE),""),"Não localizado")</f>
        <v/>
      </c>
      <c r="D356" s="31" t="str">
        <f>_xlfn.IFNA(IF($A356&lt;&gt;"",VLOOKUP($A356,Protocolos!$A$6:$G$9997,6,FALSE),""),"Não localizado")</f>
        <v/>
      </c>
    </row>
    <row r="357" spans="2:4" x14ac:dyDescent="0.25">
      <c r="B357" s="26" t="str">
        <f>_xlfn.IFNA(IF($A357&lt;&gt;"",VLOOKUP($A357,Protocolos!$A$6:$G$9997,2,FALSE),""),"Não localizado")</f>
        <v/>
      </c>
      <c r="C357" s="31" t="str">
        <f>_xlfn.IFNA(IF($A357&lt;&gt;"",VLOOKUP($A357,Protocolos!$A$6:$G$9997,7,FALSE),""),"Não localizado")</f>
        <v/>
      </c>
      <c r="D357" s="31" t="str">
        <f>_xlfn.IFNA(IF($A357&lt;&gt;"",VLOOKUP($A357,Protocolos!$A$6:$G$9997,6,FALSE),""),"Não localizado")</f>
        <v/>
      </c>
    </row>
    <row r="358" spans="2:4" x14ac:dyDescent="0.25">
      <c r="B358" s="26" t="str">
        <f>_xlfn.IFNA(IF($A358&lt;&gt;"",VLOOKUP($A358,Protocolos!$A$6:$G$9997,2,FALSE),""),"Não localizado")</f>
        <v/>
      </c>
      <c r="C358" s="31" t="str">
        <f>_xlfn.IFNA(IF($A358&lt;&gt;"",VLOOKUP($A358,Protocolos!$A$6:$G$9997,7,FALSE),""),"Não localizado")</f>
        <v/>
      </c>
      <c r="D358" s="31" t="str">
        <f>_xlfn.IFNA(IF($A358&lt;&gt;"",VLOOKUP($A358,Protocolos!$A$6:$G$9997,6,FALSE),""),"Não localizado")</f>
        <v/>
      </c>
    </row>
    <row r="359" spans="2:4" x14ac:dyDescent="0.25">
      <c r="B359" s="26" t="str">
        <f>_xlfn.IFNA(IF($A359&lt;&gt;"",VLOOKUP($A359,Protocolos!$A$6:$G$9997,2,FALSE),""),"Não localizado")</f>
        <v/>
      </c>
      <c r="C359" s="31" t="str">
        <f>_xlfn.IFNA(IF($A359&lt;&gt;"",VLOOKUP($A359,Protocolos!$A$6:$G$9997,7,FALSE),""),"Não localizado")</f>
        <v/>
      </c>
      <c r="D359" s="31" t="str">
        <f>_xlfn.IFNA(IF($A359&lt;&gt;"",VLOOKUP($A359,Protocolos!$A$6:$G$9997,6,FALSE),""),"Não localizado")</f>
        <v/>
      </c>
    </row>
    <row r="360" spans="2:4" x14ac:dyDescent="0.25">
      <c r="B360" s="26" t="str">
        <f>_xlfn.IFNA(IF($A360&lt;&gt;"",VLOOKUP($A360,Protocolos!$A$6:$G$9997,2,FALSE),""),"Não localizado")</f>
        <v/>
      </c>
      <c r="C360" s="31" t="str">
        <f>_xlfn.IFNA(IF($A360&lt;&gt;"",VLOOKUP($A360,Protocolos!$A$6:$G$9997,7,FALSE),""),"Não localizado")</f>
        <v/>
      </c>
      <c r="D360" s="31" t="str">
        <f>_xlfn.IFNA(IF($A360&lt;&gt;"",VLOOKUP($A360,Protocolos!$A$6:$G$9997,6,FALSE),""),"Não localizado")</f>
        <v/>
      </c>
    </row>
    <row r="361" spans="2:4" x14ac:dyDescent="0.25">
      <c r="B361" s="26" t="str">
        <f>_xlfn.IFNA(IF($A361&lt;&gt;"",VLOOKUP($A361,Protocolos!$A$6:$G$9997,2,FALSE),""),"Não localizado")</f>
        <v/>
      </c>
      <c r="C361" s="31" t="str">
        <f>_xlfn.IFNA(IF($A361&lt;&gt;"",VLOOKUP($A361,Protocolos!$A$6:$G$9997,7,FALSE),""),"Não localizado")</f>
        <v/>
      </c>
      <c r="D361" s="31" t="str">
        <f>_xlfn.IFNA(IF($A361&lt;&gt;"",VLOOKUP($A361,Protocolos!$A$6:$G$9997,6,FALSE),""),"Não localizado")</f>
        <v/>
      </c>
    </row>
    <row r="362" spans="2:4" x14ac:dyDescent="0.25">
      <c r="B362" s="26" t="str">
        <f>_xlfn.IFNA(IF($A362&lt;&gt;"",VLOOKUP($A362,Protocolos!$A$6:$G$9997,2,FALSE),""),"Não localizado")</f>
        <v/>
      </c>
      <c r="C362" s="31" t="str">
        <f>_xlfn.IFNA(IF($A362&lt;&gt;"",VLOOKUP($A362,Protocolos!$A$6:$G$9997,7,FALSE),""),"Não localizado")</f>
        <v/>
      </c>
      <c r="D362" s="31" t="str">
        <f>_xlfn.IFNA(IF($A362&lt;&gt;"",VLOOKUP($A362,Protocolos!$A$6:$G$9997,6,FALSE),""),"Não localizado")</f>
        <v/>
      </c>
    </row>
    <row r="363" spans="2:4" x14ac:dyDescent="0.25">
      <c r="B363" s="26" t="str">
        <f>_xlfn.IFNA(IF($A363&lt;&gt;"",VLOOKUP($A363,Protocolos!$A$6:$G$9997,2,FALSE),""),"Não localizado")</f>
        <v/>
      </c>
      <c r="C363" s="31" t="str">
        <f>_xlfn.IFNA(IF($A363&lt;&gt;"",VLOOKUP($A363,Protocolos!$A$6:$G$9997,7,FALSE),""),"Não localizado")</f>
        <v/>
      </c>
      <c r="D363" s="31" t="str">
        <f>_xlfn.IFNA(IF($A363&lt;&gt;"",VLOOKUP($A363,Protocolos!$A$6:$G$9997,6,FALSE),""),"Não localizado")</f>
        <v/>
      </c>
    </row>
    <row r="364" spans="2:4" x14ac:dyDescent="0.25">
      <c r="B364" s="26" t="str">
        <f>_xlfn.IFNA(IF($A364&lt;&gt;"",VLOOKUP($A364,Protocolos!$A$6:$G$9997,2,FALSE),""),"Não localizado")</f>
        <v/>
      </c>
      <c r="C364" s="31" t="str">
        <f>_xlfn.IFNA(IF($A364&lt;&gt;"",VLOOKUP($A364,Protocolos!$A$6:$G$9997,7,FALSE),""),"Não localizado")</f>
        <v/>
      </c>
      <c r="D364" s="31" t="str">
        <f>_xlfn.IFNA(IF($A364&lt;&gt;"",VLOOKUP($A364,Protocolos!$A$6:$G$9997,6,FALSE),""),"Não localizado")</f>
        <v/>
      </c>
    </row>
    <row r="365" spans="2:4" x14ac:dyDescent="0.25">
      <c r="B365" s="26" t="str">
        <f>_xlfn.IFNA(IF($A365&lt;&gt;"",VLOOKUP($A365,Protocolos!$A$6:$G$9997,2,FALSE),""),"Não localizado")</f>
        <v/>
      </c>
      <c r="C365" s="31" t="str">
        <f>_xlfn.IFNA(IF($A365&lt;&gt;"",VLOOKUP($A365,Protocolos!$A$6:$G$9997,7,FALSE),""),"Não localizado")</f>
        <v/>
      </c>
      <c r="D365" s="31" t="str">
        <f>_xlfn.IFNA(IF($A365&lt;&gt;"",VLOOKUP($A365,Protocolos!$A$6:$G$9997,6,FALSE),""),"Não localizado")</f>
        <v/>
      </c>
    </row>
    <row r="366" spans="2:4" x14ac:dyDescent="0.25">
      <c r="B366" s="26" t="str">
        <f>_xlfn.IFNA(IF($A366&lt;&gt;"",VLOOKUP($A366,Protocolos!$A$6:$G$9997,2,FALSE),""),"Não localizado")</f>
        <v/>
      </c>
      <c r="C366" s="31" t="str">
        <f>_xlfn.IFNA(IF($A366&lt;&gt;"",VLOOKUP($A366,Protocolos!$A$6:$G$9997,7,FALSE),""),"Não localizado")</f>
        <v/>
      </c>
      <c r="D366" s="31" t="str">
        <f>_xlfn.IFNA(IF($A366&lt;&gt;"",VLOOKUP($A366,Protocolos!$A$6:$G$9997,6,FALSE),""),"Não localizado")</f>
        <v/>
      </c>
    </row>
    <row r="367" spans="2:4" x14ac:dyDescent="0.25">
      <c r="B367" s="26" t="str">
        <f>_xlfn.IFNA(IF($A367&lt;&gt;"",VLOOKUP($A367,Protocolos!$A$6:$G$9997,2,FALSE),""),"Não localizado")</f>
        <v/>
      </c>
      <c r="C367" s="31" t="str">
        <f>_xlfn.IFNA(IF($A367&lt;&gt;"",VLOOKUP($A367,Protocolos!$A$6:$G$9997,7,FALSE),""),"Não localizado")</f>
        <v/>
      </c>
      <c r="D367" s="31" t="str">
        <f>_xlfn.IFNA(IF($A367&lt;&gt;"",VLOOKUP($A367,Protocolos!$A$6:$G$9997,6,FALSE),""),"Não localizado")</f>
        <v/>
      </c>
    </row>
    <row r="368" spans="2:4" x14ac:dyDescent="0.25">
      <c r="B368" s="26" t="str">
        <f>_xlfn.IFNA(IF($A368&lt;&gt;"",VLOOKUP($A368,Protocolos!$A$6:$G$9997,2,FALSE),""),"Não localizado")</f>
        <v/>
      </c>
      <c r="C368" s="31" t="str">
        <f>_xlfn.IFNA(IF($A368&lt;&gt;"",VLOOKUP($A368,Protocolos!$A$6:$G$9997,7,FALSE),""),"Não localizado")</f>
        <v/>
      </c>
      <c r="D368" s="31" t="str">
        <f>_xlfn.IFNA(IF($A368&lt;&gt;"",VLOOKUP($A368,Protocolos!$A$6:$G$9997,6,FALSE),""),"Não localizado")</f>
        <v/>
      </c>
    </row>
    <row r="369" spans="2:4" x14ac:dyDescent="0.25">
      <c r="B369" s="26" t="str">
        <f>_xlfn.IFNA(IF($A369&lt;&gt;"",VLOOKUP($A369,Protocolos!$A$6:$G$9997,2,FALSE),""),"Não localizado")</f>
        <v/>
      </c>
      <c r="C369" s="31" t="str">
        <f>_xlfn.IFNA(IF($A369&lt;&gt;"",VLOOKUP($A369,Protocolos!$A$6:$G$9997,7,FALSE),""),"Não localizado")</f>
        <v/>
      </c>
      <c r="D369" s="31" t="str">
        <f>_xlfn.IFNA(IF($A369&lt;&gt;"",VLOOKUP($A369,Protocolos!$A$6:$G$9997,6,FALSE),""),"Não localizado")</f>
        <v/>
      </c>
    </row>
    <row r="370" spans="2:4" x14ac:dyDescent="0.25">
      <c r="B370" s="26" t="str">
        <f>_xlfn.IFNA(IF($A370&lt;&gt;"",VLOOKUP($A370,Protocolos!$A$6:$G$9997,2,FALSE),""),"Não localizado")</f>
        <v/>
      </c>
      <c r="C370" s="31" t="str">
        <f>_xlfn.IFNA(IF($A370&lt;&gt;"",VLOOKUP($A370,Protocolos!$A$6:$G$9997,7,FALSE),""),"Não localizado")</f>
        <v/>
      </c>
      <c r="D370" s="31" t="str">
        <f>_xlfn.IFNA(IF($A370&lt;&gt;"",VLOOKUP($A370,Protocolos!$A$6:$G$9997,6,FALSE),""),"Não localizado")</f>
        <v/>
      </c>
    </row>
    <row r="371" spans="2:4" x14ac:dyDescent="0.25">
      <c r="B371" s="26" t="str">
        <f>_xlfn.IFNA(IF($A371&lt;&gt;"",VLOOKUP($A371,Protocolos!$A$6:$G$9997,2,FALSE),""),"Não localizado")</f>
        <v/>
      </c>
      <c r="C371" s="31" t="str">
        <f>_xlfn.IFNA(IF($A371&lt;&gt;"",VLOOKUP($A371,Protocolos!$A$6:$G$9997,7,FALSE),""),"Não localizado")</f>
        <v/>
      </c>
      <c r="D371" s="31" t="str">
        <f>_xlfn.IFNA(IF($A371&lt;&gt;"",VLOOKUP($A371,Protocolos!$A$6:$G$9997,6,FALSE),""),"Não localizado")</f>
        <v/>
      </c>
    </row>
    <row r="372" spans="2:4" x14ac:dyDescent="0.25">
      <c r="B372" s="26" t="str">
        <f>_xlfn.IFNA(IF($A372&lt;&gt;"",VLOOKUP($A372,Protocolos!$A$6:$G$9997,2,FALSE),""),"Não localizado")</f>
        <v/>
      </c>
      <c r="C372" s="31" t="str">
        <f>_xlfn.IFNA(IF($A372&lt;&gt;"",VLOOKUP($A372,Protocolos!$A$6:$G$9997,7,FALSE),""),"Não localizado")</f>
        <v/>
      </c>
      <c r="D372" s="31" t="str">
        <f>_xlfn.IFNA(IF($A372&lt;&gt;"",VLOOKUP($A372,Protocolos!$A$6:$G$9997,6,FALSE),""),"Não localizado")</f>
        <v/>
      </c>
    </row>
    <row r="373" spans="2:4" x14ac:dyDescent="0.25">
      <c r="B373" s="26" t="str">
        <f>_xlfn.IFNA(IF($A373&lt;&gt;"",VLOOKUP($A373,Protocolos!$A$6:$G$9997,2,FALSE),""),"Não localizado")</f>
        <v/>
      </c>
      <c r="C373" s="31" t="str">
        <f>_xlfn.IFNA(IF($A373&lt;&gt;"",VLOOKUP($A373,Protocolos!$A$6:$G$9997,7,FALSE),""),"Não localizado")</f>
        <v/>
      </c>
      <c r="D373" s="31" t="str">
        <f>_xlfn.IFNA(IF($A373&lt;&gt;"",VLOOKUP($A373,Protocolos!$A$6:$G$9997,6,FALSE),""),"Não localizado")</f>
        <v/>
      </c>
    </row>
    <row r="374" spans="2:4" x14ac:dyDescent="0.25">
      <c r="B374" s="26" t="str">
        <f>_xlfn.IFNA(IF($A374&lt;&gt;"",VLOOKUP($A374,Protocolos!$A$6:$G$9997,2,FALSE),""),"Não localizado")</f>
        <v/>
      </c>
      <c r="C374" s="31" t="str">
        <f>_xlfn.IFNA(IF($A374&lt;&gt;"",VLOOKUP($A374,Protocolos!$A$6:$G$9997,7,FALSE),""),"Não localizado")</f>
        <v/>
      </c>
      <c r="D374" s="31" t="str">
        <f>_xlfn.IFNA(IF($A374&lt;&gt;"",VLOOKUP($A374,Protocolos!$A$6:$G$9997,6,FALSE),""),"Não localizado")</f>
        <v/>
      </c>
    </row>
    <row r="375" spans="2:4" x14ac:dyDescent="0.25">
      <c r="B375" s="26" t="str">
        <f>_xlfn.IFNA(IF($A375&lt;&gt;"",VLOOKUP($A375,Protocolos!$A$6:$G$9997,2,FALSE),""),"Não localizado")</f>
        <v/>
      </c>
      <c r="C375" s="31" t="str">
        <f>_xlfn.IFNA(IF($A375&lt;&gt;"",VLOOKUP($A375,Protocolos!$A$6:$G$9997,7,FALSE),""),"Não localizado")</f>
        <v/>
      </c>
      <c r="D375" s="31" t="str">
        <f>_xlfn.IFNA(IF($A375&lt;&gt;"",VLOOKUP($A375,Protocolos!$A$6:$G$9997,6,FALSE),""),"Não localizado")</f>
        <v/>
      </c>
    </row>
    <row r="376" spans="2:4" x14ac:dyDescent="0.25">
      <c r="B376" s="26" t="str">
        <f>_xlfn.IFNA(IF($A376&lt;&gt;"",VLOOKUP($A376,Protocolos!$A$6:$G$9997,2,FALSE),""),"Não localizado")</f>
        <v/>
      </c>
      <c r="C376" s="31" t="str">
        <f>_xlfn.IFNA(IF($A376&lt;&gt;"",VLOOKUP($A376,Protocolos!$A$6:$G$9997,7,FALSE),""),"Não localizado")</f>
        <v/>
      </c>
      <c r="D376" s="31" t="str">
        <f>_xlfn.IFNA(IF($A376&lt;&gt;"",VLOOKUP($A376,Protocolos!$A$6:$G$9997,6,FALSE),""),"Não localizado")</f>
        <v/>
      </c>
    </row>
    <row r="377" spans="2:4" x14ac:dyDescent="0.25">
      <c r="B377" s="26" t="str">
        <f>_xlfn.IFNA(IF($A377&lt;&gt;"",VLOOKUP($A377,Protocolos!$A$6:$G$9997,2,FALSE),""),"Não localizado")</f>
        <v/>
      </c>
      <c r="C377" s="31" t="str">
        <f>_xlfn.IFNA(IF($A377&lt;&gt;"",VLOOKUP($A377,Protocolos!$A$6:$G$9997,7,FALSE),""),"Não localizado")</f>
        <v/>
      </c>
      <c r="D377" s="31" t="str">
        <f>_xlfn.IFNA(IF($A377&lt;&gt;"",VLOOKUP($A377,Protocolos!$A$6:$G$9997,6,FALSE),""),"Não localizado")</f>
        <v/>
      </c>
    </row>
    <row r="378" spans="2:4" x14ac:dyDescent="0.25">
      <c r="B378" s="26" t="str">
        <f>_xlfn.IFNA(IF($A378&lt;&gt;"",VLOOKUP($A378,Protocolos!$A$6:$G$9997,2,FALSE),""),"Não localizado")</f>
        <v/>
      </c>
      <c r="C378" s="31" t="str">
        <f>_xlfn.IFNA(IF($A378&lt;&gt;"",VLOOKUP($A378,Protocolos!$A$6:$G$9997,7,FALSE),""),"Não localizado")</f>
        <v/>
      </c>
      <c r="D378" s="31" t="str">
        <f>_xlfn.IFNA(IF($A378&lt;&gt;"",VLOOKUP($A378,Protocolos!$A$6:$G$9997,6,FALSE),""),"Não localizado")</f>
        <v/>
      </c>
    </row>
    <row r="379" spans="2:4" x14ac:dyDescent="0.25">
      <c r="B379" s="26" t="str">
        <f>_xlfn.IFNA(IF($A379&lt;&gt;"",VLOOKUP($A379,Protocolos!$A$6:$G$9997,2,FALSE),""),"Não localizado")</f>
        <v/>
      </c>
      <c r="C379" s="31" t="str">
        <f>_xlfn.IFNA(IF($A379&lt;&gt;"",VLOOKUP($A379,Protocolos!$A$6:$G$9997,7,FALSE),""),"Não localizado")</f>
        <v/>
      </c>
      <c r="D379" s="31" t="str">
        <f>_xlfn.IFNA(IF($A379&lt;&gt;"",VLOOKUP($A379,Protocolos!$A$6:$G$9997,6,FALSE),""),"Não localizado")</f>
        <v/>
      </c>
    </row>
    <row r="380" spans="2:4" x14ac:dyDescent="0.25">
      <c r="B380" s="26" t="str">
        <f>_xlfn.IFNA(IF($A380&lt;&gt;"",VLOOKUP($A380,Protocolos!$A$6:$G$9997,2,FALSE),""),"Não localizado")</f>
        <v/>
      </c>
      <c r="C380" s="31" t="str">
        <f>_xlfn.IFNA(IF($A380&lt;&gt;"",VLOOKUP($A380,Protocolos!$A$6:$G$9997,7,FALSE),""),"Não localizado")</f>
        <v/>
      </c>
      <c r="D380" s="31" t="str">
        <f>_xlfn.IFNA(IF($A380&lt;&gt;"",VLOOKUP($A380,Protocolos!$A$6:$G$9997,6,FALSE),""),"Não localizado")</f>
        <v/>
      </c>
    </row>
    <row r="381" spans="2:4" x14ac:dyDescent="0.25">
      <c r="B381" s="26" t="str">
        <f>_xlfn.IFNA(IF($A381&lt;&gt;"",VLOOKUP($A381,Protocolos!$A$6:$G$9997,2,FALSE),""),"Não localizado")</f>
        <v/>
      </c>
      <c r="C381" s="31" t="str">
        <f>_xlfn.IFNA(IF($A381&lt;&gt;"",VLOOKUP($A381,Protocolos!$A$6:$G$9997,7,FALSE),""),"Não localizado")</f>
        <v/>
      </c>
      <c r="D381" s="31" t="str">
        <f>_xlfn.IFNA(IF($A381&lt;&gt;"",VLOOKUP($A381,Protocolos!$A$6:$G$9997,6,FALSE),""),"Não localizado")</f>
        <v/>
      </c>
    </row>
    <row r="382" spans="2:4" x14ac:dyDescent="0.25">
      <c r="B382" s="26" t="str">
        <f>_xlfn.IFNA(IF($A382&lt;&gt;"",VLOOKUP($A382,Protocolos!$A$6:$G$9997,2,FALSE),""),"Não localizado")</f>
        <v/>
      </c>
      <c r="C382" s="31" t="str">
        <f>_xlfn.IFNA(IF($A382&lt;&gt;"",VLOOKUP($A382,Protocolos!$A$6:$G$9997,7,FALSE),""),"Não localizado")</f>
        <v/>
      </c>
      <c r="D382" s="31" t="str">
        <f>_xlfn.IFNA(IF($A382&lt;&gt;"",VLOOKUP($A382,Protocolos!$A$6:$G$9997,6,FALSE),""),"Não localizado")</f>
        <v/>
      </c>
    </row>
    <row r="383" spans="2:4" x14ac:dyDescent="0.25">
      <c r="B383" s="26" t="str">
        <f>_xlfn.IFNA(IF($A383&lt;&gt;"",VLOOKUP($A383,Protocolos!$A$6:$G$9997,2,FALSE),""),"Não localizado")</f>
        <v/>
      </c>
      <c r="C383" s="31" t="str">
        <f>_xlfn.IFNA(IF($A383&lt;&gt;"",VLOOKUP($A383,Protocolos!$A$6:$G$9997,7,FALSE),""),"Não localizado")</f>
        <v/>
      </c>
      <c r="D383" s="31" t="str">
        <f>_xlfn.IFNA(IF($A383&lt;&gt;"",VLOOKUP($A383,Protocolos!$A$6:$G$9997,6,FALSE),""),"Não localizado")</f>
        <v/>
      </c>
    </row>
    <row r="384" spans="2:4" x14ac:dyDescent="0.25">
      <c r="B384" s="26" t="str">
        <f>_xlfn.IFNA(IF($A384&lt;&gt;"",VLOOKUP($A384,Protocolos!$A$6:$G$9997,2,FALSE),""),"Não localizado")</f>
        <v/>
      </c>
      <c r="C384" s="31" t="str">
        <f>_xlfn.IFNA(IF($A384&lt;&gt;"",VLOOKUP($A384,Protocolos!$A$6:$G$9997,7,FALSE),""),"Não localizado")</f>
        <v/>
      </c>
      <c r="D384" s="31" t="str">
        <f>_xlfn.IFNA(IF($A384&lt;&gt;"",VLOOKUP($A384,Protocolos!$A$6:$G$9997,6,FALSE),""),"Não localizado")</f>
        <v/>
      </c>
    </row>
    <row r="385" spans="2:4" x14ac:dyDescent="0.25">
      <c r="B385" s="26" t="str">
        <f>_xlfn.IFNA(IF($A385&lt;&gt;"",VLOOKUP($A385,Protocolos!$A$6:$G$9997,2,FALSE),""),"Não localizado")</f>
        <v/>
      </c>
      <c r="C385" s="31" t="str">
        <f>_xlfn.IFNA(IF($A385&lt;&gt;"",VLOOKUP($A385,Protocolos!$A$6:$G$9997,7,FALSE),""),"Não localizado")</f>
        <v/>
      </c>
      <c r="D385" s="31" t="str">
        <f>_xlfn.IFNA(IF($A385&lt;&gt;"",VLOOKUP($A385,Protocolos!$A$6:$G$9997,6,FALSE),""),"Não localizado")</f>
        <v/>
      </c>
    </row>
    <row r="386" spans="2:4" x14ac:dyDescent="0.25">
      <c r="B386" s="26" t="str">
        <f>_xlfn.IFNA(IF($A386&lt;&gt;"",VLOOKUP($A386,Protocolos!$A$6:$G$9997,2,FALSE),""),"Não localizado")</f>
        <v/>
      </c>
      <c r="C386" s="31" t="str">
        <f>_xlfn.IFNA(IF($A386&lt;&gt;"",VLOOKUP($A386,Protocolos!$A$6:$G$9997,7,FALSE),""),"Não localizado")</f>
        <v/>
      </c>
      <c r="D386" s="31" t="str">
        <f>_xlfn.IFNA(IF($A386&lt;&gt;"",VLOOKUP($A386,Protocolos!$A$6:$G$9997,6,FALSE),""),"Não localizado")</f>
        <v/>
      </c>
    </row>
    <row r="387" spans="2:4" x14ac:dyDescent="0.25">
      <c r="B387" s="26" t="str">
        <f>_xlfn.IFNA(IF($A387&lt;&gt;"",VLOOKUP($A387,Protocolos!$A$6:$G$9997,2,FALSE),""),"Não localizado")</f>
        <v/>
      </c>
      <c r="C387" s="31" t="str">
        <f>_xlfn.IFNA(IF($A387&lt;&gt;"",VLOOKUP($A387,Protocolos!$A$6:$G$9997,7,FALSE),""),"Não localizado")</f>
        <v/>
      </c>
      <c r="D387" s="31" t="str">
        <f>_xlfn.IFNA(IF($A387&lt;&gt;"",VLOOKUP($A387,Protocolos!$A$6:$G$9997,6,FALSE),""),"Não localizado")</f>
        <v/>
      </c>
    </row>
    <row r="388" spans="2:4" x14ac:dyDescent="0.25">
      <c r="B388" s="26" t="str">
        <f>_xlfn.IFNA(IF($A388&lt;&gt;"",VLOOKUP($A388,Protocolos!$A$6:$G$9997,2,FALSE),""),"Não localizado")</f>
        <v/>
      </c>
      <c r="C388" s="31" t="str">
        <f>_xlfn.IFNA(IF($A388&lt;&gt;"",VLOOKUP($A388,Protocolos!$A$6:$G$9997,7,FALSE),""),"Não localizado")</f>
        <v/>
      </c>
      <c r="D388" s="31" t="str">
        <f>_xlfn.IFNA(IF($A388&lt;&gt;"",VLOOKUP($A388,Protocolos!$A$6:$G$9997,6,FALSE),""),"Não localizado")</f>
        <v/>
      </c>
    </row>
    <row r="389" spans="2:4" x14ac:dyDescent="0.25">
      <c r="B389" s="26" t="str">
        <f>_xlfn.IFNA(IF($A389&lt;&gt;"",VLOOKUP($A389,Protocolos!$A$6:$G$9997,2,FALSE),""),"Não localizado")</f>
        <v/>
      </c>
      <c r="C389" s="31" t="str">
        <f>_xlfn.IFNA(IF($A389&lt;&gt;"",VLOOKUP($A389,Protocolos!$A$6:$G$9997,7,FALSE),""),"Não localizado")</f>
        <v/>
      </c>
      <c r="D389" s="31" t="str">
        <f>_xlfn.IFNA(IF($A389&lt;&gt;"",VLOOKUP($A389,Protocolos!$A$6:$G$9997,6,FALSE),""),"Não localizado")</f>
        <v/>
      </c>
    </row>
    <row r="390" spans="2:4" x14ac:dyDescent="0.25">
      <c r="B390" s="26" t="str">
        <f>_xlfn.IFNA(IF($A390&lt;&gt;"",VLOOKUP($A390,Protocolos!$A$6:$G$9997,2,FALSE),""),"Não localizado")</f>
        <v/>
      </c>
      <c r="C390" s="31" t="str">
        <f>_xlfn.IFNA(IF($A390&lt;&gt;"",VLOOKUP($A390,Protocolos!$A$6:$G$9997,7,FALSE),""),"Não localizado")</f>
        <v/>
      </c>
      <c r="D390" s="31" t="str">
        <f>_xlfn.IFNA(IF($A390&lt;&gt;"",VLOOKUP($A390,Protocolos!$A$6:$G$9997,6,FALSE),""),"Não localizado")</f>
        <v/>
      </c>
    </row>
    <row r="391" spans="2:4" x14ac:dyDescent="0.25">
      <c r="B391" s="26" t="str">
        <f>_xlfn.IFNA(IF($A391&lt;&gt;"",VLOOKUP($A391,Protocolos!$A$6:$G$9997,2,FALSE),""),"Não localizado")</f>
        <v/>
      </c>
      <c r="C391" s="31" t="str">
        <f>_xlfn.IFNA(IF($A391&lt;&gt;"",VLOOKUP($A391,Protocolos!$A$6:$G$9997,7,FALSE),""),"Não localizado")</f>
        <v/>
      </c>
      <c r="D391" s="31" t="str">
        <f>_xlfn.IFNA(IF($A391&lt;&gt;"",VLOOKUP($A391,Protocolos!$A$6:$G$9997,6,FALSE),""),"Não localizado")</f>
        <v/>
      </c>
    </row>
    <row r="392" spans="2:4" x14ac:dyDescent="0.25">
      <c r="B392" s="26" t="str">
        <f>_xlfn.IFNA(IF($A392&lt;&gt;"",VLOOKUP($A392,Protocolos!$A$6:$G$9997,2,FALSE),""),"Não localizado")</f>
        <v/>
      </c>
      <c r="C392" s="31" t="str">
        <f>_xlfn.IFNA(IF($A392&lt;&gt;"",VLOOKUP($A392,Protocolos!$A$6:$G$9997,7,FALSE),""),"Não localizado")</f>
        <v/>
      </c>
      <c r="D392" s="31" t="str">
        <f>_xlfn.IFNA(IF($A392&lt;&gt;"",VLOOKUP($A392,Protocolos!$A$6:$G$9997,6,FALSE),""),"Não localizado")</f>
        <v/>
      </c>
    </row>
    <row r="393" spans="2:4" x14ac:dyDescent="0.25">
      <c r="B393" s="26" t="str">
        <f>_xlfn.IFNA(IF($A393&lt;&gt;"",VLOOKUP($A393,Protocolos!$A$6:$G$9997,2,FALSE),""),"Não localizado")</f>
        <v/>
      </c>
      <c r="C393" s="31" t="str">
        <f>_xlfn.IFNA(IF($A393&lt;&gt;"",VLOOKUP($A393,Protocolos!$A$6:$G$9997,7,FALSE),""),"Não localizado")</f>
        <v/>
      </c>
      <c r="D393" s="31" t="str">
        <f>_xlfn.IFNA(IF($A393&lt;&gt;"",VLOOKUP($A393,Protocolos!$A$6:$G$9997,6,FALSE),""),"Não localizado")</f>
        <v/>
      </c>
    </row>
    <row r="394" spans="2:4" x14ac:dyDescent="0.25">
      <c r="B394" s="26" t="str">
        <f>_xlfn.IFNA(IF($A394&lt;&gt;"",VLOOKUP($A394,Protocolos!$A$6:$G$9997,2,FALSE),""),"Não localizado")</f>
        <v/>
      </c>
      <c r="C394" s="31" t="str">
        <f>_xlfn.IFNA(IF($A394&lt;&gt;"",VLOOKUP($A394,Protocolos!$A$6:$G$9997,7,FALSE),""),"Não localizado")</f>
        <v/>
      </c>
      <c r="D394" s="31" t="str">
        <f>_xlfn.IFNA(IF($A394&lt;&gt;"",VLOOKUP($A394,Protocolos!$A$6:$G$9997,6,FALSE),""),"Não localizado")</f>
        <v/>
      </c>
    </row>
    <row r="395" spans="2:4" x14ac:dyDescent="0.25">
      <c r="B395" s="26" t="str">
        <f>_xlfn.IFNA(IF($A395&lt;&gt;"",VLOOKUP($A395,Protocolos!$A$6:$G$9997,2,FALSE),""),"Não localizado")</f>
        <v/>
      </c>
      <c r="C395" s="31" t="str">
        <f>_xlfn.IFNA(IF($A395&lt;&gt;"",VLOOKUP($A395,Protocolos!$A$6:$G$9997,7,FALSE),""),"Não localizado")</f>
        <v/>
      </c>
      <c r="D395" s="31" t="str">
        <f>_xlfn.IFNA(IF($A395&lt;&gt;"",VLOOKUP($A395,Protocolos!$A$6:$G$9997,6,FALSE),""),"Não localizado")</f>
        <v/>
      </c>
    </row>
    <row r="396" spans="2:4" x14ac:dyDescent="0.25">
      <c r="B396" s="26" t="str">
        <f>_xlfn.IFNA(IF($A396&lt;&gt;"",VLOOKUP($A396,Protocolos!$A$6:$G$9997,2,FALSE),""),"Não localizado")</f>
        <v/>
      </c>
      <c r="C396" s="31" t="str">
        <f>_xlfn.IFNA(IF($A396&lt;&gt;"",VLOOKUP($A396,Protocolos!$A$6:$G$9997,7,FALSE),""),"Não localizado")</f>
        <v/>
      </c>
      <c r="D396" s="31" t="str">
        <f>_xlfn.IFNA(IF($A396&lt;&gt;"",VLOOKUP($A396,Protocolos!$A$6:$G$9997,6,FALSE),""),"Não localizado")</f>
        <v/>
      </c>
    </row>
    <row r="397" spans="2:4" x14ac:dyDescent="0.25">
      <c r="B397" s="26" t="str">
        <f>_xlfn.IFNA(IF($A397&lt;&gt;"",VLOOKUP($A397,Protocolos!$A$6:$G$9997,2,FALSE),""),"Não localizado")</f>
        <v/>
      </c>
      <c r="C397" s="31" t="str">
        <f>_xlfn.IFNA(IF($A397&lt;&gt;"",VLOOKUP($A397,Protocolos!$A$6:$G$9997,7,FALSE),""),"Não localizado")</f>
        <v/>
      </c>
      <c r="D397" s="31" t="str">
        <f>_xlfn.IFNA(IF($A397&lt;&gt;"",VLOOKUP($A397,Protocolos!$A$6:$G$9997,6,FALSE),""),"Não localizado")</f>
        <v/>
      </c>
    </row>
    <row r="398" spans="2:4" x14ac:dyDescent="0.25">
      <c r="B398" s="26" t="str">
        <f>_xlfn.IFNA(IF($A398&lt;&gt;"",VLOOKUP($A398,Protocolos!$A$6:$G$9997,2,FALSE),""),"Não localizado")</f>
        <v/>
      </c>
      <c r="C398" s="31" t="str">
        <f>_xlfn.IFNA(IF($A398&lt;&gt;"",VLOOKUP($A398,Protocolos!$A$6:$G$9997,7,FALSE),""),"Não localizado")</f>
        <v/>
      </c>
      <c r="D398" s="31" t="str">
        <f>_xlfn.IFNA(IF($A398&lt;&gt;"",VLOOKUP($A398,Protocolos!$A$6:$G$9997,6,FALSE),""),"Não localizado")</f>
        <v/>
      </c>
    </row>
    <row r="399" spans="2:4" x14ac:dyDescent="0.25">
      <c r="B399" s="26" t="str">
        <f>_xlfn.IFNA(IF($A399&lt;&gt;"",VLOOKUP($A399,Protocolos!$A$6:$G$9997,2,FALSE),""),"Não localizado")</f>
        <v/>
      </c>
      <c r="C399" s="31" t="str">
        <f>_xlfn.IFNA(IF($A399&lt;&gt;"",VLOOKUP($A399,Protocolos!$A$6:$G$9997,7,FALSE),""),"Não localizado")</f>
        <v/>
      </c>
      <c r="D399" s="31" t="str">
        <f>_xlfn.IFNA(IF($A399&lt;&gt;"",VLOOKUP($A399,Protocolos!$A$6:$G$9997,6,FALSE),""),"Não localizado")</f>
        <v/>
      </c>
    </row>
    <row r="400" spans="2:4" x14ac:dyDescent="0.25">
      <c r="B400" s="26" t="str">
        <f>_xlfn.IFNA(IF($A400&lt;&gt;"",VLOOKUP($A400,Protocolos!$A$6:$G$9997,2,FALSE),""),"Não localizado")</f>
        <v/>
      </c>
      <c r="C400" s="31" t="str">
        <f>_xlfn.IFNA(IF($A400&lt;&gt;"",VLOOKUP($A400,Protocolos!$A$6:$G$9997,7,FALSE),""),"Não localizado")</f>
        <v/>
      </c>
      <c r="D400" s="31" t="str">
        <f>_xlfn.IFNA(IF($A400&lt;&gt;"",VLOOKUP($A400,Protocolos!$A$6:$G$9997,6,FALSE),""),"Não localizado")</f>
        <v/>
      </c>
    </row>
    <row r="401" spans="2:4" x14ac:dyDescent="0.25">
      <c r="B401" s="26" t="str">
        <f>_xlfn.IFNA(IF($A401&lt;&gt;"",VLOOKUP($A401,Protocolos!$A$6:$G$9997,2,FALSE),""),"Não localizado")</f>
        <v/>
      </c>
      <c r="C401" s="31" t="str">
        <f>_xlfn.IFNA(IF($A401&lt;&gt;"",VLOOKUP($A401,Protocolos!$A$6:$G$9997,7,FALSE),""),"Não localizado")</f>
        <v/>
      </c>
      <c r="D401" s="31" t="str">
        <f>_xlfn.IFNA(IF($A401&lt;&gt;"",VLOOKUP($A401,Protocolos!$A$6:$G$9997,6,FALSE),""),"Não localizado")</f>
        <v/>
      </c>
    </row>
    <row r="402" spans="2:4" x14ac:dyDescent="0.25">
      <c r="B402" s="26" t="str">
        <f>_xlfn.IFNA(IF($A402&lt;&gt;"",VLOOKUP($A402,Protocolos!$A$6:$G$9997,2,FALSE),""),"Não localizado")</f>
        <v/>
      </c>
      <c r="C402" s="31" t="str">
        <f>_xlfn.IFNA(IF($A402&lt;&gt;"",VLOOKUP($A402,Protocolos!$A$6:$G$9997,7,FALSE),""),"Não localizado")</f>
        <v/>
      </c>
      <c r="D402" s="31" t="str">
        <f>_xlfn.IFNA(IF($A402&lt;&gt;"",VLOOKUP($A402,Protocolos!$A$6:$G$9997,6,FALSE),""),"Não localizado")</f>
        <v/>
      </c>
    </row>
    <row r="403" spans="2:4" x14ac:dyDescent="0.25">
      <c r="B403" s="26" t="str">
        <f>_xlfn.IFNA(IF($A403&lt;&gt;"",VLOOKUP($A403,Protocolos!$A$6:$G$9997,2,FALSE),""),"Não localizado")</f>
        <v/>
      </c>
      <c r="C403" s="31" t="str">
        <f>_xlfn.IFNA(IF($A403&lt;&gt;"",VLOOKUP($A403,Protocolos!$A$6:$G$9997,7,FALSE),""),"Não localizado")</f>
        <v/>
      </c>
      <c r="D403" s="31" t="str">
        <f>_xlfn.IFNA(IF($A403&lt;&gt;"",VLOOKUP($A403,Protocolos!$A$6:$G$9997,6,FALSE),""),"Não localizado")</f>
        <v/>
      </c>
    </row>
    <row r="404" spans="2:4" x14ac:dyDescent="0.25">
      <c r="B404" s="26" t="str">
        <f>_xlfn.IFNA(IF($A404&lt;&gt;"",VLOOKUP($A404,Protocolos!$A$6:$G$9997,2,FALSE),""),"Não localizado")</f>
        <v/>
      </c>
      <c r="C404" s="31" t="str">
        <f>_xlfn.IFNA(IF($A404&lt;&gt;"",VLOOKUP($A404,Protocolos!$A$6:$G$9997,7,FALSE),""),"Não localizado")</f>
        <v/>
      </c>
      <c r="D404" s="31" t="str">
        <f>_xlfn.IFNA(IF($A404&lt;&gt;"",VLOOKUP($A404,Protocolos!$A$6:$G$9997,6,FALSE),""),"Não localizado")</f>
        <v/>
      </c>
    </row>
    <row r="405" spans="2:4" x14ac:dyDescent="0.25">
      <c r="B405" s="26" t="str">
        <f>_xlfn.IFNA(IF($A405&lt;&gt;"",VLOOKUP($A405,Protocolos!$A$6:$G$9997,2,FALSE),""),"Não localizado")</f>
        <v/>
      </c>
      <c r="C405" s="31" t="str">
        <f>_xlfn.IFNA(IF($A405&lt;&gt;"",VLOOKUP($A405,Protocolos!$A$6:$G$9997,7,FALSE),""),"Não localizado")</f>
        <v/>
      </c>
      <c r="D405" s="31" t="str">
        <f>_xlfn.IFNA(IF($A405&lt;&gt;"",VLOOKUP($A405,Protocolos!$A$6:$G$9997,6,FALSE),""),"Não localizado")</f>
        <v/>
      </c>
    </row>
    <row r="406" spans="2:4" x14ac:dyDescent="0.25">
      <c r="B406" s="26" t="str">
        <f>_xlfn.IFNA(IF($A406&lt;&gt;"",VLOOKUP($A406,Protocolos!$A$6:$G$9997,2,FALSE),""),"Não localizado")</f>
        <v/>
      </c>
      <c r="C406" s="31" t="str">
        <f>_xlfn.IFNA(IF($A406&lt;&gt;"",VLOOKUP($A406,Protocolos!$A$6:$G$9997,7,FALSE),""),"Não localizado")</f>
        <v/>
      </c>
      <c r="D406" s="31" t="str">
        <f>_xlfn.IFNA(IF($A406&lt;&gt;"",VLOOKUP($A406,Protocolos!$A$6:$G$9997,6,FALSE),""),"Não localizado")</f>
        <v/>
      </c>
    </row>
    <row r="407" spans="2:4" x14ac:dyDescent="0.25">
      <c r="B407" s="26" t="str">
        <f>_xlfn.IFNA(IF($A407&lt;&gt;"",VLOOKUP($A407,Protocolos!$A$6:$G$9997,2,FALSE),""),"Não localizado")</f>
        <v/>
      </c>
      <c r="C407" s="31" t="str">
        <f>_xlfn.IFNA(IF($A407&lt;&gt;"",VLOOKUP($A407,Protocolos!$A$6:$G$9997,7,FALSE),""),"Não localizado")</f>
        <v/>
      </c>
      <c r="D407" s="31" t="str">
        <f>_xlfn.IFNA(IF($A407&lt;&gt;"",VLOOKUP($A407,Protocolos!$A$6:$G$9997,6,FALSE),""),"Não localizado")</f>
        <v/>
      </c>
    </row>
    <row r="408" spans="2:4" x14ac:dyDescent="0.25">
      <c r="B408" s="26" t="str">
        <f>_xlfn.IFNA(IF($A408&lt;&gt;"",VLOOKUP($A408,Protocolos!$A$6:$G$9997,2,FALSE),""),"Não localizado")</f>
        <v/>
      </c>
      <c r="C408" s="31" t="str">
        <f>_xlfn.IFNA(IF($A408&lt;&gt;"",VLOOKUP($A408,Protocolos!$A$6:$G$9997,7,FALSE),""),"Não localizado")</f>
        <v/>
      </c>
      <c r="D408" s="31" t="str">
        <f>_xlfn.IFNA(IF($A408&lt;&gt;"",VLOOKUP($A408,Protocolos!$A$6:$G$9997,6,FALSE),""),"Não localizado")</f>
        <v/>
      </c>
    </row>
    <row r="409" spans="2:4" x14ac:dyDescent="0.25">
      <c r="B409" s="26" t="str">
        <f>_xlfn.IFNA(IF($A409&lt;&gt;"",VLOOKUP($A409,Protocolos!$A$6:$G$9997,2,FALSE),""),"Não localizado")</f>
        <v/>
      </c>
      <c r="C409" s="31" t="str">
        <f>_xlfn.IFNA(IF($A409&lt;&gt;"",VLOOKUP($A409,Protocolos!$A$6:$G$9997,7,FALSE),""),"Não localizado")</f>
        <v/>
      </c>
      <c r="D409" s="31" t="str">
        <f>_xlfn.IFNA(IF($A409&lt;&gt;"",VLOOKUP($A409,Protocolos!$A$6:$G$9997,6,FALSE),""),"Não localizado")</f>
        <v/>
      </c>
    </row>
    <row r="410" spans="2:4" x14ac:dyDescent="0.25">
      <c r="B410" s="26" t="str">
        <f>_xlfn.IFNA(IF($A410&lt;&gt;"",VLOOKUP($A410,Protocolos!$A$6:$G$9997,2,FALSE),""),"Não localizado")</f>
        <v/>
      </c>
      <c r="C410" s="31" t="str">
        <f>_xlfn.IFNA(IF($A410&lt;&gt;"",VLOOKUP($A410,Protocolos!$A$6:$G$9997,7,FALSE),""),"Não localizado")</f>
        <v/>
      </c>
      <c r="D410" s="31" t="str">
        <f>_xlfn.IFNA(IF($A410&lt;&gt;"",VLOOKUP($A410,Protocolos!$A$6:$G$9997,6,FALSE),""),"Não localizado")</f>
        <v/>
      </c>
    </row>
    <row r="411" spans="2:4" x14ac:dyDescent="0.25">
      <c r="B411" s="26" t="str">
        <f>_xlfn.IFNA(IF($A411&lt;&gt;"",VLOOKUP($A411,Protocolos!$A$6:$G$9997,2,FALSE),""),"Não localizado")</f>
        <v/>
      </c>
      <c r="C411" s="31" t="str">
        <f>_xlfn.IFNA(IF($A411&lt;&gt;"",VLOOKUP($A411,Protocolos!$A$6:$G$9997,7,FALSE),""),"Não localizado")</f>
        <v/>
      </c>
      <c r="D411" s="31" t="str">
        <f>_xlfn.IFNA(IF($A411&lt;&gt;"",VLOOKUP($A411,Protocolos!$A$6:$G$9997,6,FALSE),""),"Não localizado")</f>
        <v/>
      </c>
    </row>
    <row r="412" spans="2:4" x14ac:dyDescent="0.25">
      <c r="B412" s="26" t="str">
        <f>_xlfn.IFNA(IF($A412&lt;&gt;"",VLOOKUP($A412,Protocolos!$A$6:$G$9997,2,FALSE),""),"Não localizado")</f>
        <v/>
      </c>
      <c r="C412" s="31" t="str">
        <f>_xlfn.IFNA(IF($A412&lt;&gt;"",VLOOKUP($A412,Protocolos!$A$6:$G$9997,7,FALSE),""),"Não localizado")</f>
        <v/>
      </c>
      <c r="D412" s="31" t="str">
        <f>_xlfn.IFNA(IF($A412&lt;&gt;"",VLOOKUP($A412,Protocolos!$A$6:$G$9997,6,FALSE),""),"Não localizado")</f>
        <v/>
      </c>
    </row>
    <row r="413" spans="2:4" x14ac:dyDescent="0.25">
      <c r="B413" s="26" t="str">
        <f>_xlfn.IFNA(IF($A413&lt;&gt;"",VLOOKUP($A413,Protocolos!$A$6:$G$9997,2,FALSE),""),"Não localizado")</f>
        <v/>
      </c>
      <c r="C413" s="31" t="str">
        <f>_xlfn.IFNA(IF($A413&lt;&gt;"",VLOOKUP($A413,Protocolos!$A$6:$G$9997,7,FALSE),""),"Não localizado")</f>
        <v/>
      </c>
      <c r="D413" s="31" t="str">
        <f>_xlfn.IFNA(IF($A413&lt;&gt;"",VLOOKUP($A413,Protocolos!$A$6:$G$9997,6,FALSE),""),"Não localizado")</f>
        <v/>
      </c>
    </row>
    <row r="414" spans="2:4" x14ac:dyDescent="0.25">
      <c r="B414" s="26" t="str">
        <f>_xlfn.IFNA(IF($A414&lt;&gt;"",VLOOKUP($A414,Protocolos!$A$6:$G$9997,2,FALSE),""),"Não localizado")</f>
        <v/>
      </c>
      <c r="C414" s="31" t="str">
        <f>_xlfn.IFNA(IF($A414&lt;&gt;"",VLOOKUP($A414,Protocolos!$A$6:$G$9997,7,FALSE),""),"Não localizado")</f>
        <v/>
      </c>
      <c r="D414" s="31" t="str">
        <f>_xlfn.IFNA(IF($A414&lt;&gt;"",VLOOKUP($A414,Protocolos!$A$6:$G$9997,6,FALSE),""),"Não localizado")</f>
        <v/>
      </c>
    </row>
    <row r="415" spans="2:4" x14ac:dyDescent="0.25">
      <c r="B415" s="26" t="str">
        <f>_xlfn.IFNA(IF($A415&lt;&gt;"",VLOOKUP($A415,Protocolos!$A$6:$G$9997,2,FALSE),""),"Não localizado")</f>
        <v/>
      </c>
      <c r="C415" s="31" t="str">
        <f>_xlfn.IFNA(IF($A415&lt;&gt;"",VLOOKUP($A415,Protocolos!$A$6:$G$9997,7,FALSE),""),"Não localizado")</f>
        <v/>
      </c>
      <c r="D415" s="31" t="str">
        <f>_xlfn.IFNA(IF($A415&lt;&gt;"",VLOOKUP($A415,Protocolos!$A$6:$G$9997,6,FALSE),""),"Não localizado")</f>
        <v/>
      </c>
    </row>
    <row r="416" spans="2:4" x14ac:dyDescent="0.25">
      <c r="B416" s="26" t="str">
        <f>_xlfn.IFNA(IF($A416&lt;&gt;"",VLOOKUP($A416,Protocolos!$A$6:$G$9997,2,FALSE),""),"Não localizado")</f>
        <v/>
      </c>
      <c r="C416" s="31" t="str">
        <f>_xlfn.IFNA(IF($A416&lt;&gt;"",VLOOKUP($A416,Protocolos!$A$6:$G$9997,7,FALSE),""),"Não localizado")</f>
        <v/>
      </c>
      <c r="D416" s="31" t="str">
        <f>_xlfn.IFNA(IF($A416&lt;&gt;"",VLOOKUP($A416,Protocolos!$A$6:$G$9997,6,FALSE),""),"Não localizado")</f>
        <v/>
      </c>
    </row>
    <row r="417" spans="2:4" x14ac:dyDescent="0.25">
      <c r="B417" s="26" t="str">
        <f>_xlfn.IFNA(IF($A417&lt;&gt;"",VLOOKUP($A417,Protocolos!$A$6:$G$9997,2,FALSE),""),"Não localizado")</f>
        <v/>
      </c>
      <c r="C417" s="31" t="str">
        <f>_xlfn.IFNA(IF($A417&lt;&gt;"",VLOOKUP($A417,Protocolos!$A$6:$G$9997,7,FALSE),""),"Não localizado")</f>
        <v/>
      </c>
      <c r="D417" s="31" t="str">
        <f>_xlfn.IFNA(IF($A417&lt;&gt;"",VLOOKUP($A417,Protocolos!$A$6:$G$9997,6,FALSE),""),"Não localizado")</f>
        <v/>
      </c>
    </row>
    <row r="418" spans="2:4" x14ac:dyDescent="0.25">
      <c r="B418" s="26" t="str">
        <f>_xlfn.IFNA(IF($A418&lt;&gt;"",VLOOKUP($A418,Protocolos!$A$6:$G$9997,2,FALSE),""),"Não localizado")</f>
        <v/>
      </c>
      <c r="C418" s="31" t="str">
        <f>_xlfn.IFNA(IF($A418&lt;&gt;"",VLOOKUP($A418,Protocolos!$A$6:$G$9997,7,FALSE),""),"Não localizado")</f>
        <v/>
      </c>
      <c r="D418" s="31" t="str">
        <f>_xlfn.IFNA(IF($A418&lt;&gt;"",VLOOKUP($A418,Protocolos!$A$6:$G$9997,6,FALSE),""),"Não localizado")</f>
        <v/>
      </c>
    </row>
    <row r="419" spans="2:4" x14ac:dyDescent="0.25">
      <c r="B419" s="26" t="str">
        <f>_xlfn.IFNA(IF($A419&lt;&gt;"",VLOOKUP($A419,Protocolos!$A$6:$G$9997,2,FALSE),""),"Não localizado")</f>
        <v/>
      </c>
      <c r="C419" s="31" t="str">
        <f>_xlfn.IFNA(IF($A419&lt;&gt;"",VLOOKUP($A419,Protocolos!$A$6:$G$9997,7,FALSE),""),"Não localizado")</f>
        <v/>
      </c>
      <c r="D419" s="31" t="str">
        <f>_xlfn.IFNA(IF($A419&lt;&gt;"",VLOOKUP($A419,Protocolos!$A$6:$G$9997,6,FALSE),""),"Não localizado")</f>
        <v/>
      </c>
    </row>
    <row r="420" spans="2:4" x14ac:dyDescent="0.25">
      <c r="B420" s="26" t="str">
        <f>_xlfn.IFNA(IF($A420&lt;&gt;"",VLOOKUP($A420,Protocolos!$A$6:$G$9997,2,FALSE),""),"Não localizado")</f>
        <v/>
      </c>
      <c r="C420" s="31" t="str">
        <f>_xlfn.IFNA(IF($A420&lt;&gt;"",VLOOKUP($A420,Protocolos!$A$6:$G$9997,7,FALSE),""),"Não localizado")</f>
        <v/>
      </c>
      <c r="D420" s="31" t="str">
        <f>_xlfn.IFNA(IF($A420&lt;&gt;"",VLOOKUP($A420,Protocolos!$A$6:$G$9997,6,FALSE),""),"Não localizado")</f>
        <v/>
      </c>
    </row>
    <row r="421" spans="2:4" x14ac:dyDescent="0.25">
      <c r="B421" s="26" t="str">
        <f>_xlfn.IFNA(IF($A421&lt;&gt;"",VLOOKUP($A421,Protocolos!$A$6:$G$9997,2,FALSE),""),"Não localizado")</f>
        <v/>
      </c>
      <c r="C421" s="31" t="str">
        <f>_xlfn.IFNA(IF($A421&lt;&gt;"",VLOOKUP($A421,Protocolos!$A$6:$G$9997,7,FALSE),""),"Não localizado")</f>
        <v/>
      </c>
      <c r="D421" s="31" t="str">
        <f>_xlfn.IFNA(IF($A421&lt;&gt;"",VLOOKUP($A421,Protocolos!$A$6:$G$9997,6,FALSE),""),"Não localizado")</f>
        <v/>
      </c>
    </row>
    <row r="422" spans="2:4" x14ac:dyDescent="0.25">
      <c r="B422" s="26" t="str">
        <f>_xlfn.IFNA(IF($A422&lt;&gt;"",VLOOKUP($A422,Protocolos!$A$6:$G$9997,2,FALSE),""),"Não localizado")</f>
        <v/>
      </c>
      <c r="C422" s="31" t="str">
        <f>_xlfn.IFNA(IF($A422&lt;&gt;"",VLOOKUP($A422,Protocolos!$A$6:$G$9997,7,FALSE),""),"Não localizado")</f>
        <v/>
      </c>
      <c r="D422" s="31" t="str">
        <f>_xlfn.IFNA(IF($A422&lt;&gt;"",VLOOKUP($A422,Protocolos!$A$6:$G$9997,6,FALSE),""),"Não localizado")</f>
        <v/>
      </c>
    </row>
    <row r="423" spans="2:4" x14ac:dyDescent="0.25">
      <c r="B423" s="26" t="str">
        <f>_xlfn.IFNA(IF($A423&lt;&gt;"",VLOOKUP($A423,Protocolos!$A$6:$G$9997,2,FALSE),""),"Não localizado")</f>
        <v/>
      </c>
      <c r="C423" s="31" t="str">
        <f>_xlfn.IFNA(IF($A423&lt;&gt;"",VLOOKUP($A423,Protocolos!$A$6:$G$9997,7,FALSE),""),"Não localizado")</f>
        <v/>
      </c>
      <c r="D423" s="31" t="str">
        <f>_xlfn.IFNA(IF($A423&lt;&gt;"",VLOOKUP($A423,Protocolos!$A$6:$G$9997,6,FALSE),""),"Não localizado")</f>
        <v/>
      </c>
    </row>
    <row r="424" spans="2:4" x14ac:dyDescent="0.25">
      <c r="B424" s="26" t="str">
        <f>_xlfn.IFNA(IF($A424&lt;&gt;"",VLOOKUP($A424,Protocolos!$A$6:$G$9997,2,FALSE),""),"Não localizado")</f>
        <v/>
      </c>
      <c r="C424" s="31" t="str">
        <f>_xlfn.IFNA(IF($A424&lt;&gt;"",VLOOKUP($A424,Protocolos!$A$6:$G$9997,7,FALSE),""),"Não localizado")</f>
        <v/>
      </c>
      <c r="D424" s="31" t="str">
        <f>_xlfn.IFNA(IF($A424&lt;&gt;"",VLOOKUP($A424,Protocolos!$A$6:$G$9997,6,FALSE),""),"Não localizado")</f>
        <v/>
      </c>
    </row>
    <row r="425" spans="2:4" x14ac:dyDescent="0.25">
      <c r="B425" s="26" t="str">
        <f>_xlfn.IFNA(IF($A425&lt;&gt;"",VLOOKUP($A425,Protocolos!$A$6:$G$9997,2,FALSE),""),"Não localizado")</f>
        <v/>
      </c>
      <c r="C425" s="31" t="str">
        <f>_xlfn.IFNA(IF($A425&lt;&gt;"",VLOOKUP($A425,Protocolos!$A$6:$G$9997,7,FALSE),""),"Não localizado")</f>
        <v/>
      </c>
      <c r="D425" s="31" t="str">
        <f>_xlfn.IFNA(IF($A425&lt;&gt;"",VLOOKUP($A425,Protocolos!$A$6:$G$9997,6,FALSE),""),"Não localizado")</f>
        <v/>
      </c>
    </row>
    <row r="426" spans="2:4" x14ac:dyDescent="0.25">
      <c r="B426" s="26" t="str">
        <f>_xlfn.IFNA(IF($A426&lt;&gt;"",VLOOKUP($A426,Protocolos!$A$6:$G$9997,2,FALSE),""),"Não localizado")</f>
        <v/>
      </c>
      <c r="C426" s="31" t="str">
        <f>_xlfn.IFNA(IF($A426&lt;&gt;"",VLOOKUP($A426,Protocolos!$A$6:$G$9997,7,FALSE),""),"Não localizado")</f>
        <v/>
      </c>
      <c r="D426" s="31" t="str">
        <f>_xlfn.IFNA(IF($A426&lt;&gt;"",VLOOKUP($A426,Protocolos!$A$6:$G$9997,6,FALSE),""),"Não localizado")</f>
        <v/>
      </c>
    </row>
    <row r="427" spans="2:4" x14ac:dyDescent="0.25">
      <c r="B427" s="26" t="str">
        <f>_xlfn.IFNA(IF($A427&lt;&gt;"",VLOOKUP($A427,Protocolos!$A$6:$G$9997,2,FALSE),""),"Não localizado")</f>
        <v/>
      </c>
      <c r="C427" s="31" t="str">
        <f>_xlfn.IFNA(IF($A427&lt;&gt;"",VLOOKUP($A427,Protocolos!$A$6:$G$9997,7,FALSE),""),"Não localizado")</f>
        <v/>
      </c>
      <c r="D427" s="31" t="str">
        <f>_xlfn.IFNA(IF($A427&lt;&gt;"",VLOOKUP($A427,Protocolos!$A$6:$G$9997,6,FALSE),""),"Não localizado")</f>
        <v/>
      </c>
    </row>
    <row r="428" spans="2:4" x14ac:dyDescent="0.25">
      <c r="B428" s="26" t="str">
        <f>_xlfn.IFNA(IF($A428&lt;&gt;"",VLOOKUP($A428,Protocolos!$A$6:$G$9997,2,FALSE),""),"Não localizado")</f>
        <v/>
      </c>
      <c r="C428" s="31" t="str">
        <f>_xlfn.IFNA(IF($A428&lt;&gt;"",VLOOKUP($A428,Protocolos!$A$6:$G$9997,7,FALSE),""),"Não localizado")</f>
        <v/>
      </c>
      <c r="D428" s="31" t="str">
        <f>_xlfn.IFNA(IF($A428&lt;&gt;"",VLOOKUP($A428,Protocolos!$A$6:$G$9997,6,FALSE),""),"Não localizado")</f>
        <v/>
      </c>
    </row>
    <row r="429" spans="2:4" x14ac:dyDescent="0.25">
      <c r="B429" s="26" t="str">
        <f>_xlfn.IFNA(IF($A429&lt;&gt;"",VLOOKUP($A429,Protocolos!$A$6:$G$9997,2,FALSE),""),"Não localizado")</f>
        <v/>
      </c>
      <c r="C429" s="31" t="str">
        <f>_xlfn.IFNA(IF($A429&lt;&gt;"",VLOOKUP($A429,Protocolos!$A$6:$G$9997,7,FALSE),""),"Não localizado")</f>
        <v/>
      </c>
      <c r="D429" s="31" t="str">
        <f>_xlfn.IFNA(IF($A429&lt;&gt;"",VLOOKUP($A429,Protocolos!$A$6:$G$9997,6,FALSE),""),"Não localizado")</f>
        <v/>
      </c>
    </row>
    <row r="430" spans="2:4" x14ac:dyDescent="0.25">
      <c r="B430" s="26" t="str">
        <f>_xlfn.IFNA(IF($A430&lt;&gt;"",VLOOKUP($A430,Protocolos!$A$6:$G$9997,2,FALSE),""),"Não localizado")</f>
        <v/>
      </c>
      <c r="C430" s="31" t="str">
        <f>_xlfn.IFNA(IF($A430&lt;&gt;"",VLOOKUP($A430,Protocolos!$A$6:$G$9997,7,FALSE),""),"Não localizado")</f>
        <v/>
      </c>
      <c r="D430" s="31" t="str">
        <f>_xlfn.IFNA(IF($A430&lt;&gt;"",VLOOKUP($A430,Protocolos!$A$6:$G$9997,6,FALSE),""),"Não localizado")</f>
        <v/>
      </c>
    </row>
    <row r="431" spans="2:4" x14ac:dyDescent="0.25">
      <c r="B431" s="26" t="str">
        <f>_xlfn.IFNA(IF($A431&lt;&gt;"",VLOOKUP($A431,Protocolos!$A$6:$G$9997,2,FALSE),""),"Não localizado")</f>
        <v/>
      </c>
      <c r="C431" s="31" t="str">
        <f>_xlfn.IFNA(IF($A431&lt;&gt;"",VLOOKUP($A431,Protocolos!$A$6:$G$9997,7,FALSE),""),"Não localizado")</f>
        <v/>
      </c>
      <c r="D431" s="31" t="str">
        <f>_xlfn.IFNA(IF($A431&lt;&gt;"",VLOOKUP($A431,Protocolos!$A$6:$G$9997,6,FALSE),""),"Não localizado")</f>
        <v/>
      </c>
    </row>
    <row r="432" spans="2:4" x14ac:dyDescent="0.25">
      <c r="B432" s="26" t="str">
        <f>_xlfn.IFNA(IF($A432&lt;&gt;"",VLOOKUP($A432,Protocolos!$A$6:$G$9997,2,FALSE),""),"Não localizado")</f>
        <v/>
      </c>
      <c r="C432" s="31" t="str">
        <f>_xlfn.IFNA(IF($A432&lt;&gt;"",VLOOKUP($A432,Protocolos!$A$6:$G$9997,7,FALSE),""),"Não localizado")</f>
        <v/>
      </c>
      <c r="D432" s="31" t="str">
        <f>_xlfn.IFNA(IF($A432&lt;&gt;"",VLOOKUP($A432,Protocolos!$A$6:$G$9997,6,FALSE),""),"Não localizado")</f>
        <v/>
      </c>
    </row>
    <row r="433" spans="2:4" x14ac:dyDescent="0.25">
      <c r="B433" s="26" t="str">
        <f>_xlfn.IFNA(IF($A433&lt;&gt;"",VLOOKUP($A433,Protocolos!$A$6:$G$9997,2,FALSE),""),"Não localizado")</f>
        <v/>
      </c>
      <c r="C433" s="31" t="str">
        <f>_xlfn.IFNA(IF($A433&lt;&gt;"",VLOOKUP($A433,Protocolos!$A$6:$G$9997,7,FALSE),""),"Não localizado")</f>
        <v/>
      </c>
      <c r="D433" s="31" t="str">
        <f>_xlfn.IFNA(IF($A433&lt;&gt;"",VLOOKUP($A433,Protocolos!$A$6:$G$9997,6,FALSE),""),"Não localizado")</f>
        <v/>
      </c>
    </row>
    <row r="434" spans="2:4" x14ac:dyDescent="0.25">
      <c r="B434" s="26" t="str">
        <f>_xlfn.IFNA(IF($A434&lt;&gt;"",VLOOKUP($A434,Protocolos!$A$6:$G$9997,2,FALSE),""),"Não localizado")</f>
        <v/>
      </c>
      <c r="C434" s="31" t="str">
        <f>_xlfn.IFNA(IF($A434&lt;&gt;"",VLOOKUP($A434,Protocolos!$A$6:$G$9997,7,FALSE),""),"Não localizado")</f>
        <v/>
      </c>
      <c r="D434" s="31" t="str">
        <f>_xlfn.IFNA(IF($A434&lt;&gt;"",VLOOKUP($A434,Protocolos!$A$6:$G$9997,6,FALSE),""),"Não localizado")</f>
        <v/>
      </c>
    </row>
    <row r="435" spans="2:4" x14ac:dyDescent="0.25">
      <c r="B435" s="26" t="str">
        <f>_xlfn.IFNA(IF($A435&lt;&gt;"",VLOOKUP($A435,Protocolos!$A$6:$G$9997,2,FALSE),""),"Não localizado")</f>
        <v/>
      </c>
      <c r="C435" s="31" t="str">
        <f>_xlfn.IFNA(IF($A435&lt;&gt;"",VLOOKUP($A435,Protocolos!$A$6:$G$9997,7,FALSE),""),"Não localizado")</f>
        <v/>
      </c>
      <c r="D435" s="31" t="str">
        <f>_xlfn.IFNA(IF($A435&lt;&gt;"",VLOOKUP($A435,Protocolos!$A$6:$G$9997,6,FALSE),""),"Não localizado")</f>
        <v/>
      </c>
    </row>
    <row r="436" spans="2:4" x14ac:dyDescent="0.25">
      <c r="B436" s="26" t="str">
        <f>_xlfn.IFNA(IF($A436&lt;&gt;"",VLOOKUP($A436,Protocolos!$A$6:$G$9997,2,FALSE),""),"Não localizado")</f>
        <v/>
      </c>
      <c r="C436" s="31" t="str">
        <f>_xlfn.IFNA(IF($A436&lt;&gt;"",VLOOKUP($A436,Protocolos!$A$6:$G$9997,7,FALSE),""),"Não localizado")</f>
        <v/>
      </c>
      <c r="D436" s="31" t="str">
        <f>_xlfn.IFNA(IF($A436&lt;&gt;"",VLOOKUP($A436,Protocolos!$A$6:$G$9997,6,FALSE),""),"Não localizado")</f>
        <v/>
      </c>
    </row>
    <row r="437" spans="2:4" x14ac:dyDescent="0.25">
      <c r="B437" s="26" t="str">
        <f>_xlfn.IFNA(IF($A437&lt;&gt;"",VLOOKUP($A437,Protocolos!$A$6:$G$9997,2,FALSE),""),"Não localizado")</f>
        <v/>
      </c>
      <c r="C437" s="31" t="str">
        <f>_xlfn.IFNA(IF($A437&lt;&gt;"",VLOOKUP($A437,Protocolos!$A$6:$G$9997,7,FALSE),""),"Não localizado")</f>
        <v/>
      </c>
      <c r="D437" s="31" t="str">
        <f>_xlfn.IFNA(IF($A437&lt;&gt;"",VLOOKUP($A437,Protocolos!$A$6:$G$9997,6,FALSE),""),"Não localizado")</f>
        <v/>
      </c>
    </row>
    <row r="438" spans="2:4" x14ac:dyDescent="0.25">
      <c r="B438" s="26" t="str">
        <f>_xlfn.IFNA(IF($A438&lt;&gt;"",VLOOKUP($A438,Protocolos!$A$6:$G$9997,2,FALSE),""),"Não localizado")</f>
        <v/>
      </c>
      <c r="C438" s="31" t="str">
        <f>_xlfn.IFNA(IF($A438&lt;&gt;"",VLOOKUP($A438,Protocolos!$A$6:$G$9997,7,FALSE),""),"Não localizado")</f>
        <v/>
      </c>
      <c r="D438" s="31" t="str">
        <f>_xlfn.IFNA(IF($A438&lt;&gt;"",VLOOKUP($A438,Protocolos!$A$6:$G$9997,6,FALSE),""),"Não localizado")</f>
        <v/>
      </c>
    </row>
    <row r="439" spans="2:4" x14ac:dyDescent="0.25">
      <c r="B439" s="26" t="str">
        <f>_xlfn.IFNA(IF($A439&lt;&gt;"",VLOOKUP($A439,Protocolos!$A$6:$G$9997,2,FALSE),""),"Não localizado")</f>
        <v/>
      </c>
      <c r="C439" s="31" t="str">
        <f>_xlfn.IFNA(IF($A439&lt;&gt;"",VLOOKUP($A439,Protocolos!$A$6:$G$9997,7,FALSE),""),"Não localizado")</f>
        <v/>
      </c>
      <c r="D439" s="31" t="str">
        <f>_xlfn.IFNA(IF($A439&lt;&gt;"",VLOOKUP($A439,Protocolos!$A$6:$G$9997,6,FALSE),""),"Não localizado")</f>
        <v/>
      </c>
    </row>
    <row r="440" spans="2:4" x14ac:dyDescent="0.25">
      <c r="B440" s="26" t="str">
        <f>_xlfn.IFNA(IF($A440&lt;&gt;"",VLOOKUP($A440,Protocolos!$A$6:$G$9997,2,FALSE),""),"Não localizado")</f>
        <v/>
      </c>
      <c r="C440" s="31" t="str">
        <f>_xlfn.IFNA(IF($A440&lt;&gt;"",VLOOKUP($A440,Protocolos!$A$6:$G$9997,7,FALSE),""),"Não localizado")</f>
        <v/>
      </c>
      <c r="D440" s="31" t="str">
        <f>_xlfn.IFNA(IF($A440&lt;&gt;"",VLOOKUP($A440,Protocolos!$A$6:$G$9997,6,FALSE),""),"Não localizado")</f>
        <v/>
      </c>
    </row>
    <row r="441" spans="2:4" x14ac:dyDescent="0.25">
      <c r="B441" s="26" t="str">
        <f>_xlfn.IFNA(IF($A441&lt;&gt;"",VLOOKUP($A441,Protocolos!$A$6:$G$9997,2,FALSE),""),"Não localizado")</f>
        <v/>
      </c>
      <c r="C441" s="31" t="str">
        <f>_xlfn.IFNA(IF($A441&lt;&gt;"",VLOOKUP($A441,Protocolos!$A$6:$G$9997,7,FALSE),""),"Não localizado")</f>
        <v/>
      </c>
      <c r="D441" s="31" t="str">
        <f>_xlfn.IFNA(IF($A441&lt;&gt;"",VLOOKUP($A441,Protocolos!$A$6:$G$9997,6,FALSE),""),"Não localizado")</f>
        <v/>
      </c>
    </row>
    <row r="442" spans="2:4" x14ac:dyDescent="0.25">
      <c r="B442" s="26" t="str">
        <f>_xlfn.IFNA(IF($A442&lt;&gt;"",VLOOKUP($A442,Protocolos!$A$6:$G$9997,2,FALSE),""),"Não localizado")</f>
        <v/>
      </c>
      <c r="C442" s="31" t="str">
        <f>_xlfn.IFNA(IF($A442&lt;&gt;"",VLOOKUP($A442,Protocolos!$A$6:$G$9997,7,FALSE),""),"Não localizado")</f>
        <v/>
      </c>
      <c r="D442" s="31" t="str">
        <f>_xlfn.IFNA(IF($A442&lt;&gt;"",VLOOKUP($A442,Protocolos!$A$6:$G$9997,6,FALSE),""),"Não localizado")</f>
        <v/>
      </c>
    </row>
    <row r="443" spans="2:4" x14ac:dyDescent="0.25">
      <c r="B443" s="26" t="str">
        <f>_xlfn.IFNA(IF($A443&lt;&gt;"",VLOOKUP($A443,Protocolos!$A$6:$G$9997,2,FALSE),""),"Não localizado")</f>
        <v/>
      </c>
      <c r="C443" s="31" t="str">
        <f>_xlfn.IFNA(IF($A443&lt;&gt;"",VLOOKUP($A443,Protocolos!$A$6:$G$9997,7,FALSE),""),"Não localizado")</f>
        <v/>
      </c>
      <c r="D443" s="31" t="str">
        <f>_xlfn.IFNA(IF($A443&lt;&gt;"",VLOOKUP($A443,Protocolos!$A$6:$G$9997,6,FALSE),""),"Não localizado")</f>
        <v/>
      </c>
    </row>
    <row r="444" spans="2:4" x14ac:dyDescent="0.25">
      <c r="B444" s="26" t="str">
        <f>_xlfn.IFNA(IF($A444&lt;&gt;"",VLOOKUP($A444,Protocolos!$A$6:$G$9997,2,FALSE),""),"Não localizado")</f>
        <v/>
      </c>
      <c r="C444" s="31" t="str">
        <f>_xlfn.IFNA(IF($A444&lt;&gt;"",VLOOKUP($A444,Protocolos!$A$6:$G$9997,7,FALSE),""),"Não localizado")</f>
        <v/>
      </c>
      <c r="D444" s="31" t="str">
        <f>_xlfn.IFNA(IF($A444&lt;&gt;"",VLOOKUP($A444,Protocolos!$A$6:$G$9997,6,FALSE),""),"Não localizado")</f>
        <v/>
      </c>
    </row>
    <row r="445" spans="2:4" x14ac:dyDescent="0.25">
      <c r="B445" s="26" t="str">
        <f>_xlfn.IFNA(IF($A445&lt;&gt;"",VLOOKUP($A445,Protocolos!$A$6:$G$9997,2,FALSE),""),"Não localizado")</f>
        <v/>
      </c>
      <c r="C445" s="31" t="str">
        <f>_xlfn.IFNA(IF($A445&lt;&gt;"",VLOOKUP($A445,Protocolos!$A$6:$G$9997,7,FALSE),""),"Não localizado")</f>
        <v/>
      </c>
      <c r="D445" s="31" t="str">
        <f>_xlfn.IFNA(IF($A445&lt;&gt;"",VLOOKUP($A445,Protocolos!$A$6:$G$9997,6,FALSE),""),"Não localizado")</f>
        <v/>
      </c>
    </row>
    <row r="446" spans="2:4" x14ac:dyDescent="0.25">
      <c r="B446" s="26" t="str">
        <f>_xlfn.IFNA(IF($A446&lt;&gt;"",VLOOKUP($A446,Protocolos!$A$6:$G$9997,2,FALSE),""),"Não localizado")</f>
        <v/>
      </c>
      <c r="C446" s="31" t="str">
        <f>_xlfn.IFNA(IF($A446&lt;&gt;"",VLOOKUP($A446,Protocolos!$A$6:$G$9997,7,FALSE),""),"Não localizado")</f>
        <v/>
      </c>
      <c r="D446" s="31" t="str">
        <f>_xlfn.IFNA(IF($A446&lt;&gt;"",VLOOKUP($A446,Protocolos!$A$6:$G$9997,6,FALSE),""),"Não localizado")</f>
        <v/>
      </c>
    </row>
    <row r="447" spans="2:4" x14ac:dyDescent="0.25">
      <c r="B447" s="26" t="str">
        <f>_xlfn.IFNA(IF($A447&lt;&gt;"",VLOOKUP($A447,Protocolos!$A$6:$G$9997,2,FALSE),""),"Não localizado")</f>
        <v/>
      </c>
      <c r="C447" s="31" t="str">
        <f>_xlfn.IFNA(IF($A447&lt;&gt;"",VLOOKUP($A447,Protocolos!$A$6:$G$9997,7,FALSE),""),"Não localizado")</f>
        <v/>
      </c>
      <c r="D447" s="31" t="str">
        <f>_xlfn.IFNA(IF($A447&lt;&gt;"",VLOOKUP($A447,Protocolos!$A$6:$G$9997,6,FALSE),""),"Não localizado")</f>
        <v/>
      </c>
    </row>
    <row r="448" spans="2:4" x14ac:dyDescent="0.25">
      <c r="B448" s="26" t="str">
        <f>_xlfn.IFNA(IF($A448&lt;&gt;"",VLOOKUP($A448,Protocolos!$A$6:$G$9997,2,FALSE),""),"Não localizado")</f>
        <v/>
      </c>
      <c r="C448" s="31" t="str">
        <f>_xlfn.IFNA(IF($A448&lt;&gt;"",VLOOKUP($A448,Protocolos!$A$6:$G$9997,7,FALSE),""),"Não localizado")</f>
        <v/>
      </c>
      <c r="D448" s="31" t="str">
        <f>_xlfn.IFNA(IF($A448&lt;&gt;"",VLOOKUP($A448,Protocolos!$A$6:$G$9997,6,FALSE),""),"Não localizado")</f>
        <v/>
      </c>
    </row>
    <row r="449" spans="2:4" x14ac:dyDescent="0.25">
      <c r="B449" s="26" t="str">
        <f>_xlfn.IFNA(IF($A449&lt;&gt;"",VLOOKUP($A449,Protocolos!$A$6:$G$9997,2,FALSE),""),"Não localizado")</f>
        <v/>
      </c>
      <c r="C449" s="31" t="str">
        <f>_xlfn.IFNA(IF($A449&lt;&gt;"",VLOOKUP($A449,Protocolos!$A$6:$G$9997,7,FALSE),""),"Não localizado")</f>
        <v/>
      </c>
      <c r="D449" s="31" t="str">
        <f>_xlfn.IFNA(IF($A449&lt;&gt;"",VLOOKUP($A449,Protocolos!$A$6:$G$9997,6,FALSE),""),"Não localizado")</f>
        <v/>
      </c>
    </row>
    <row r="450" spans="2:4" x14ac:dyDescent="0.25">
      <c r="B450" s="26" t="str">
        <f>_xlfn.IFNA(IF($A450&lt;&gt;"",VLOOKUP($A450,Protocolos!$A$6:$G$9997,2,FALSE),""),"Não localizado")</f>
        <v/>
      </c>
      <c r="C450" s="31" t="str">
        <f>_xlfn.IFNA(IF($A450&lt;&gt;"",VLOOKUP($A450,Protocolos!$A$6:$G$9997,7,FALSE),""),"Não localizado")</f>
        <v/>
      </c>
      <c r="D450" s="31" t="str">
        <f>_xlfn.IFNA(IF($A450&lt;&gt;"",VLOOKUP($A450,Protocolos!$A$6:$G$9997,6,FALSE),""),"Não localizado")</f>
        <v/>
      </c>
    </row>
    <row r="451" spans="2:4" x14ac:dyDescent="0.25">
      <c r="B451" s="26" t="str">
        <f>_xlfn.IFNA(IF($A451&lt;&gt;"",VLOOKUP($A451,Protocolos!$A$6:$G$9997,2,FALSE),""),"Não localizado")</f>
        <v/>
      </c>
      <c r="C451" s="31" t="str">
        <f>_xlfn.IFNA(IF($A451&lt;&gt;"",VLOOKUP($A451,Protocolos!$A$6:$G$9997,7,FALSE),""),"Não localizado")</f>
        <v/>
      </c>
      <c r="D451" s="31" t="str">
        <f>_xlfn.IFNA(IF($A451&lt;&gt;"",VLOOKUP($A451,Protocolos!$A$6:$G$9997,6,FALSE),""),"Não localizado")</f>
        <v/>
      </c>
    </row>
    <row r="452" spans="2:4" x14ac:dyDescent="0.25">
      <c r="B452" s="26" t="str">
        <f>_xlfn.IFNA(IF($A452&lt;&gt;"",VLOOKUP($A452,Protocolos!$A$6:$G$9997,2,FALSE),""),"Não localizado")</f>
        <v/>
      </c>
      <c r="C452" s="31" t="str">
        <f>_xlfn.IFNA(IF($A452&lt;&gt;"",VLOOKUP($A452,Protocolos!$A$6:$G$9997,7,FALSE),""),"Não localizado")</f>
        <v/>
      </c>
      <c r="D452" s="31" t="str">
        <f>_xlfn.IFNA(IF($A452&lt;&gt;"",VLOOKUP($A452,Protocolos!$A$6:$G$9997,6,FALSE),""),"Não localizado")</f>
        <v/>
      </c>
    </row>
    <row r="453" spans="2:4" x14ac:dyDescent="0.25">
      <c r="B453" s="26" t="str">
        <f>_xlfn.IFNA(IF($A453&lt;&gt;"",VLOOKUP($A453,Protocolos!$A$6:$G$9997,2,FALSE),""),"Não localizado")</f>
        <v/>
      </c>
      <c r="C453" s="31" t="str">
        <f>_xlfn.IFNA(IF($A453&lt;&gt;"",VLOOKUP($A453,Protocolos!$A$6:$G$9997,7,FALSE),""),"Não localizado")</f>
        <v/>
      </c>
      <c r="D453" s="31" t="str">
        <f>_xlfn.IFNA(IF($A453&lt;&gt;"",VLOOKUP($A453,Protocolos!$A$6:$G$9997,6,FALSE),""),"Não localizado")</f>
        <v/>
      </c>
    </row>
    <row r="454" spans="2:4" x14ac:dyDescent="0.25">
      <c r="B454" s="26" t="str">
        <f>_xlfn.IFNA(IF($A454&lt;&gt;"",VLOOKUP($A454,Protocolos!$A$6:$G$9997,2,FALSE),""),"Não localizado")</f>
        <v/>
      </c>
      <c r="C454" s="31" t="str">
        <f>_xlfn.IFNA(IF($A454&lt;&gt;"",VLOOKUP($A454,Protocolos!$A$6:$G$9997,7,FALSE),""),"Não localizado")</f>
        <v/>
      </c>
      <c r="D454" s="31" t="str">
        <f>_xlfn.IFNA(IF($A454&lt;&gt;"",VLOOKUP($A454,Protocolos!$A$6:$G$9997,6,FALSE),""),"Não localizado")</f>
        <v/>
      </c>
    </row>
    <row r="455" spans="2:4" x14ac:dyDescent="0.25">
      <c r="B455" s="26" t="str">
        <f>_xlfn.IFNA(IF($A455&lt;&gt;"",VLOOKUP($A455,Protocolos!$A$6:$G$9997,2,FALSE),""),"Não localizado")</f>
        <v/>
      </c>
      <c r="C455" s="31" t="str">
        <f>_xlfn.IFNA(IF($A455&lt;&gt;"",VLOOKUP($A455,Protocolos!$A$6:$G$9997,7,FALSE),""),"Não localizado")</f>
        <v/>
      </c>
      <c r="D455" s="31" t="str">
        <f>_xlfn.IFNA(IF($A455&lt;&gt;"",VLOOKUP($A455,Protocolos!$A$6:$G$9997,6,FALSE),""),"Não localizado")</f>
        <v/>
      </c>
    </row>
    <row r="456" spans="2:4" x14ac:dyDescent="0.25">
      <c r="B456" s="26" t="str">
        <f>_xlfn.IFNA(IF($A456&lt;&gt;"",VLOOKUP($A456,Protocolos!$A$6:$G$9997,2,FALSE),""),"Não localizado")</f>
        <v/>
      </c>
      <c r="C456" s="31" t="str">
        <f>_xlfn.IFNA(IF($A456&lt;&gt;"",VLOOKUP($A456,Protocolos!$A$6:$G$9997,7,FALSE),""),"Não localizado")</f>
        <v/>
      </c>
      <c r="D456" s="31" t="str">
        <f>_xlfn.IFNA(IF($A456&lt;&gt;"",VLOOKUP($A456,Protocolos!$A$6:$G$9997,6,FALSE),""),"Não localizado")</f>
        <v/>
      </c>
    </row>
    <row r="457" spans="2:4" x14ac:dyDescent="0.25">
      <c r="B457" s="26" t="str">
        <f>_xlfn.IFNA(IF($A457&lt;&gt;"",VLOOKUP($A457,Protocolos!$A$6:$G$9997,2,FALSE),""),"Não localizado")</f>
        <v/>
      </c>
      <c r="C457" s="31" t="str">
        <f>_xlfn.IFNA(IF($A457&lt;&gt;"",VLOOKUP($A457,Protocolos!$A$6:$G$9997,7,FALSE),""),"Não localizado")</f>
        <v/>
      </c>
      <c r="D457" s="31" t="str">
        <f>_xlfn.IFNA(IF($A457&lt;&gt;"",VLOOKUP($A457,Protocolos!$A$6:$G$9997,6,FALSE),""),"Não localizado")</f>
        <v/>
      </c>
    </row>
    <row r="458" spans="2:4" x14ac:dyDescent="0.25">
      <c r="B458" s="26" t="str">
        <f>_xlfn.IFNA(IF($A458&lt;&gt;"",VLOOKUP($A458,Protocolos!$A$6:$G$9997,2,FALSE),""),"Não localizado")</f>
        <v/>
      </c>
      <c r="C458" s="31" t="str">
        <f>_xlfn.IFNA(IF($A458&lt;&gt;"",VLOOKUP($A458,Protocolos!$A$6:$G$9997,7,FALSE),""),"Não localizado")</f>
        <v/>
      </c>
      <c r="D458" s="31" t="str">
        <f>_xlfn.IFNA(IF($A458&lt;&gt;"",VLOOKUP($A458,Protocolos!$A$6:$G$9997,6,FALSE),""),"Não localizado")</f>
        <v/>
      </c>
    </row>
    <row r="459" spans="2:4" x14ac:dyDescent="0.25">
      <c r="B459" s="26" t="str">
        <f>_xlfn.IFNA(IF($A459&lt;&gt;"",VLOOKUP($A459,Protocolos!$A$6:$G$9997,2,FALSE),""),"Não localizado")</f>
        <v/>
      </c>
      <c r="C459" s="31" t="str">
        <f>_xlfn.IFNA(IF($A459&lt;&gt;"",VLOOKUP($A459,Protocolos!$A$6:$G$9997,7,FALSE),""),"Não localizado")</f>
        <v/>
      </c>
      <c r="D459" s="31" t="str">
        <f>_xlfn.IFNA(IF($A459&lt;&gt;"",VLOOKUP($A459,Protocolos!$A$6:$G$9997,6,FALSE),""),"Não localizado")</f>
        <v/>
      </c>
    </row>
    <row r="460" spans="2:4" x14ac:dyDescent="0.25">
      <c r="B460" s="26" t="str">
        <f>_xlfn.IFNA(IF($A460&lt;&gt;"",VLOOKUP($A460,Protocolos!$A$6:$G$9997,2,FALSE),""),"Não localizado")</f>
        <v/>
      </c>
      <c r="C460" s="31" t="str">
        <f>_xlfn.IFNA(IF($A460&lt;&gt;"",VLOOKUP($A460,Protocolos!$A$6:$G$9997,7,FALSE),""),"Não localizado")</f>
        <v/>
      </c>
      <c r="D460" s="31" t="str">
        <f>_xlfn.IFNA(IF($A460&lt;&gt;"",VLOOKUP($A460,Protocolos!$A$6:$G$9997,6,FALSE),""),"Não localizado")</f>
        <v/>
      </c>
    </row>
    <row r="461" spans="2:4" x14ac:dyDescent="0.25">
      <c r="B461" s="26" t="str">
        <f>_xlfn.IFNA(IF($A461&lt;&gt;"",VLOOKUP($A461,Protocolos!$A$6:$G$9997,2,FALSE),""),"Não localizado")</f>
        <v/>
      </c>
      <c r="C461" s="31" t="str">
        <f>_xlfn.IFNA(IF($A461&lt;&gt;"",VLOOKUP($A461,Protocolos!$A$6:$G$9997,7,FALSE),""),"Não localizado")</f>
        <v/>
      </c>
      <c r="D461" s="31" t="str">
        <f>_xlfn.IFNA(IF($A461&lt;&gt;"",VLOOKUP($A461,Protocolos!$A$6:$G$9997,6,FALSE),""),"Não localizado")</f>
        <v/>
      </c>
    </row>
    <row r="462" spans="2:4" x14ac:dyDescent="0.25">
      <c r="B462" s="26" t="str">
        <f>_xlfn.IFNA(IF($A462&lt;&gt;"",VLOOKUP($A462,Protocolos!$A$6:$G$9997,2,FALSE),""),"Não localizado")</f>
        <v/>
      </c>
      <c r="C462" s="31" t="str">
        <f>_xlfn.IFNA(IF($A462&lt;&gt;"",VLOOKUP($A462,Protocolos!$A$6:$G$9997,7,FALSE),""),"Não localizado")</f>
        <v/>
      </c>
      <c r="D462" s="31" t="str">
        <f>_xlfn.IFNA(IF($A462&lt;&gt;"",VLOOKUP($A462,Protocolos!$A$6:$G$9997,6,FALSE),""),"Não localizado")</f>
        <v/>
      </c>
    </row>
    <row r="463" spans="2:4" x14ac:dyDescent="0.25">
      <c r="B463" s="26" t="str">
        <f>_xlfn.IFNA(IF($A463&lt;&gt;"",VLOOKUP($A463,Protocolos!$A$6:$G$9997,2,FALSE),""),"Não localizado")</f>
        <v/>
      </c>
      <c r="C463" s="31" t="str">
        <f>_xlfn.IFNA(IF($A463&lt;&gt;"",VLOOKUP($A463,Protocolos!$A$6:$G$9997,7,FALSE),""),"Não localizado")</f>
        <v/>
      </c>
      <c r="D463" s="31" t="str">
        <f>_xlfn.IFNA(IF($A463&lt;&gt;"",VLOOKUP($A463,Protocolos!$A$6:$G$9997,6,FALSE),""),"Não localizado")</f>
        <v/>
      </c>
    </row>
    <row r="464" spans="2:4" x14ac:dyDescent="0.25">
      <c r="B464" s="26" t="str">
        <f>_xlfn.IFNA(IF($A464&lt;&gt;"",VLOOKUP($A464,Protocolos!$A$6:$G$9997,2,FALSE),""),"Não localizado")</f>
        <v/>
      </c>
      <c r="C464" s="31" t="str">
        <f>_xlfn.IFNA(IF($A464&lt;&gt;"",VLOOKUP($A464,Protocolos!$A$6:$G$9997,7,FALSE),""),"Não localizado")</f>
        <v/>
      </c>
      <c r="D464" s="31" t="str">
        <f>_xlfn.IFNA(IF($A464&lt;&gt;"",VLOOKUP($A464,Protocolos!$A$6:$G$9997,6,FALSE),""),"Não localizado")</f>
        <v/>
      </c>
    </row>
    <row r="465" spans="2:4" x14ac:dyDescent="0.25">
      <c r="B465" s="26" t="str">
        <f>_xlfn.IFNA(IF($A465&lt;&gt;"",VLOOKUP($A465,Protocolos!$A$6:$G$9997,2,FALSE),""),"Não localizado")</f>
        <v/>
      </c>
      <c r="C465" s="31" t="str">
        <f>_xlfn.IFNA(IF($A465&lt;&gt;"",VLOOKUP($A465,Protocolos!$A$6:$G$9997,7,FALSE),""),"Não localizado")</f>
        <v/>
      </c>
      <c r="D465" s="31" t="str">
        <f>_xlfn.IFNA(IF($A465&lt;&gt;"",VLOOKUP($A465,Protocolos!$A$6:$G$9997,6,FALSE),""),"Não localizado")</f>
        <v/>
      </c>
    </row>
    <row r="466" spans="2:4" x14ac:dyDescent="0.25">
      <c r="B466" s="26" t="str">
        <f>_xlfn.IFNA(IF($A466&lt;&gt;"",VLOOKUP($A466,Protocolos!$A$6:$G$9997,2,FALSE),""),"Não localizado")</f>
        <v/>
      </c>
      <c r="C466" s="31" t="str">
        <f>_xlfn.IFNA(IF($A466&lt;&gt;"",VLOOKUP($A466,Protocolos!$A$6:$G$9997,7,FALSE),""),"Não localizado")</f>
        <v/>
      </c>
      <c r="D466" s="31" t="str">
        <f>_xlfn.IFNA(IF($A466&lt;&gt;"",VLOOKUP($A466,Protocolos!$A$6:$G$9997,6,FALSE),""),"Não localizado")</f>
        <v/>
      </c>
    </row>
    <row r="467" spans="2:4" x14ac:dyDescent="0.25">
      <c r="B467" s="26" t="str">
        <f>_xlfn.IFNA(IF($A467&lt;&gt;"",VLOOKUP($A467,Protocolos!$A$6:$G$9997,2,FALSE),""),"Não localizado")</f>
        <v/>
      </c>
      <c r="C467" s="31" t="str">
        <f>_xlfn.IFNA(IF($A467&lt;&gt;"",VLOOKUP($A467,Protocolos!$A$6:$G$9997,7,FALSE),""),"Não localizado")</f>
        <v/>
      </c>
      <c r="D467" s="31" t="str">
        <f>_xlfn.IFNA(IF($A467&lt;&gt;"",VLOOKUP($A467,Protocolos!$A$6:$G$9997,6,FALSE),""),"Não localizado")</f>
        <v/>
      </c>
    </row>
    <row r="468" spans="2:4" x14ac:dyDescent="0.25">
      <c r="B468" s="26" t="str">
        <f>_xlfn.IFNA(IF($A468&lt;&gt;"",VLOOKUP($A468,Protocolos!$A$6:$G$9997,2,FALSE),""),"Não localizado")</f>
        <v/>
      </c>
      <c r="C468" s="31" t="str">
        <f>_xlfn.IFNA(IF($A468&lt;&gt;"",VLOOKUP($A468,Protocolos!$A$6:$G$9997,7,FALSE),""),"Não localizado")</f>
        <v/>
      </c>
      <c r="D468" s="31" t="str">
        <f>_xlfn.IFNA(IF($A468&lt;&gt;"",VLOOKUP($A468,Protocolos!$A$6:$G$9997,6,FALSE),""),"Não localizado")</f>
        <v/>
      </c>
    </row>
    <row r="469" spans="2:4" x14ac:dyDescent="0.25">
      <c r="B469" s="26" t="str">
        <f>_xlfn.IFNA(IF($A469&lt;&gt;"",VLOOKUP($A469,Protocolos!$A$6:$G$9997,2,FALSE),""),"Não localizado")</f>
        <v/>
      </c>
      <c r="C469" s="31" t="str">
        <f>_xlfn.IFNA(IF($A469&lt;&gt;"",VLOOKUP($A469,Protocolos!$A$6:$G$9997,7,FALSE),""),"Não localizado")</f>
        <v/>
      </c>
      <c r="D469" s="31" t="str">
        <f>_xlfn.IFNA(IF($A469&lt;&gt;"",VLOOKUP($A469,Protocolos!$A$6:$G$9997,6,FALSE),""),"Não localizado")</f>
        <v/>
      </c>
    </row>
    <row r="470" spans="2:4" x14ac:dyDescent="0.25">
      <c r="B470" s="26" t="str">
        <f>_xlfn.IFNA(IF($A470&lt;&gt;"",VLOOKUP($A470,Protocolos!$A$6:$G$9997,2,FALSE),""),"Não localizado")</f>
        <v/>
      </c>
      <c r="C470" s="31" t="str">
        <f>_xlfn.IFNA(IF($A470&lt;&gt;"",VLOOKUP($A470,Protocolos!$A$6:$G$9997,7,FALSE),""),"Não localizado")</f>
        <v/>
      </c>
      <c r="D470" s="31" t="str">
        <f>_xlfn.IFNA(IF($A470&lt;&gt;"",VLOOKUP($A470,Protocolos!$A$6:$G$9997,6,FALSE),""),"Não localizado")</f>
        <v/>
      </c>
    </row>
    <row r="471" spans="2:4" x14ac:dyDescent="0.25">
      <c r="B471" s="26" t="str">
        <f>_xlfn.IFNA(IF($A471&lt;&gt;"",VLOOKUP($A471,Protocolos!$A$6:$G$9997,2,FALSE),""),"Não localizado")</f>
        <v/>
      </c>
      <c r="C471" s="31" t="str">
        <f>_xlfn.IFNA(IF($A471&lt;&gt;"",VLOOKUP($A471,Protocolos!$A$6:$G$9997,7,FALSE),""),"Não localizado")</f>
        <v/>
      </c>
      <c r="D471" s="31" t="str">
        <f>_xlfn.IFNA(IF($A471&lt;&gt;"",VLOOKUP($A471,Protocolos!$A$6:$G$9997,6,FALSE),""),"Não localizado")</f>
        <v/>
      </c>
    </row>
    <row r="472" spans="2:4" x14ac:dyDescent="0.25">
      <c r="B472" s="26" t="str">
        <f>_xlfn.IFNA(IF($A472&lt;&gt;"",VLOOKUP($A472,Protocolos!$A$6:$G$9997,2,FALSE),""),"Não localizado")</f>
        <v/>
      </c>
      <c r="C472" s="31" t="str">
        <f>_xlfn.IFNA(IF($A472&lt;&gt;"",VLOOKUP($A472,Protocolos!$A$6:$G$9997,7,FALSE),""),"Não localizado")</f>
        <v/>
      </c>
      <c r="D472" s="31" t="str">
        <f>_xlfn.IFNA(IF($A472&lt;&gt;"",VLOOKUP($A472,Protocolos!$A$6:$G$9997,6,FALSE),""),"Não localizado")</f>
        <v/>
      </c>
    </row>
    <row r="473" spans="2:4" x14ac:dyDescent="0.25">
      <c r="B473" s="26" t="str">
        <f>_xlfn.IFNA(IF($A473&lt;&gt;"",VLOOKUP($A473,Protocolos!$A$6:$G$9997,2,FALSE),""),"Não localizado")</f>
        <v/>
      </c>
      <c r="C473" s="31" t="str">
        <f>_xlfn.IFNA(IF($A473&lt;&gt;"",VLOOKUP($A473,Protocolos!$A$6:$G$9997,7,FALSE),""),"Não localizado")</f>
        <v/>
      </c>
      <c r="D473" s="31" t="str">
        <f>_xlfn.IFNA(IF($A473&lt;&gt;"",VLOOKUP($A473,Protocolos!$A$6:$G$9997,6,FALSE),""),"Não localizado")</f>
        <v/>
      </c>
    </row>
    <row r="474" spans="2:4" x14ac:dyDescent="0.25">
      <c r="B474" s="26" t="str">
        <f>_xlfn.IFNA(IF($A474&lt;&gt;"",VLOOKUP($A474,Protocolos!$A$6:$G$9997,2,FALSE),""),"Não localizado")</f>
        <v/>
      </c>
      <c r="C474" s="31" t="str">
        <f>_xlfn.IFNA(IF($A474&lt;&gt;"",VLOOKUP($A474,Protocolos!$A$6:$G$9997,7,FALSE),""),"Não localizado")</f>
        <v/>
      </c>
      <c r="D474" s="31" t="str">
        <f>_xlfn.IFNA(IF($A474&lt;&gt;"",VLOOKUP($A474,Protocolos!$A$6:$G$9997,6,FALSE),""),"Não localizado")</f>
        <v/>
      </c>
    </row>
    <row r="475" spans="2:4" x14ac:dyDescent="0.25">
      <c r="B475" s="26" t="str">
        <f>_xlfn.IFNA(IF($A475&lt;&gt;"",VLOOKUP($A475,Protocolos!$A$6:$G$9997,2,FALSE),""),"Não localizado")</f>
        <v/>
      </c>
      <c r="C475" s="31" t="str">
        <f>_xlfn.IFNA(IF($A475&lt;&gt;"",VLOOKUP($A475,Protocolos!$A$6:$G$9997,7,FALSE),""),"Não localizado")</f>
        <v/>
      </c>
      <c r="D475" s="31" t="str">
        <f>_xlfn.IFNA(IF($A475&lt;&gt;"",VLOOKUP($A475,Protocolos!$A$6:$G$9997,6,FALSE),""),"Não localizado")</f>
        <v/>
      </c>
    </row>
    <row r="476" spans="2:4" x14ac:dyDescent="0.25">
      <c r="B476" s="26" t="str">
        <f>_xlfn.IFNA(IF($A476&lt;&gt;"",VLOOKUP($A476,Protocolos!$A$6:$G$9997,2,FALSE),""),"Não localizado")</f>
        <v/>
      </c>
      <c r="C476" s="31" t="str">
        <f>_xlfn.IFNA(IF($A476&lt;&gt;"",VLOOKUP($A476,Protocolos!$A$6:$G$9997,7,FALSE),""),"Não localizado")</f>
        <v/>
      </c>
      <c r="D476" s="31" t="str">
        <f>_xlfn.IFNA(IF($A476&lt;&gt;"",VLOOKUP($A476,Protocolos!$A$6:$G$9997,6,FALSE),""),"Não localizado")</f>
        <v/>
      </c>
    </row>
    <row r="477" spans="2:4" x14ac:dyDescent="0.25">
      <c r="B477" s="26" t="str">
        <f>_xlfn.IFNA(IF($A477&lt;&gt;"",VLOOKUP($A477,Protocolos!$A$6:$G$9997,2,FALSE),""),"Não localizado")</f>
        <v/>
      </c>
      <c r="C477" s="31" t="str">
        <f>_xlfn.IFNA(IF($A477&lt;&gt;"",VLOOKUP($A477,Protocolos!$A$6:$G$9997,7,FALSE),""),"Não localizado")</f>
        <v/>
      </c>
      <c r="D477" s="31" t="str">
        <f>_xlfn.IFNA(IF($A477&lt;&gt;"",VLOOKUP($A477,Protocolos!$A$6:$G$9997,6,FALSE),""),"Não localizado")</f>
        <v/>
      </c>
    </row>
    <row r="478" spans="2:4" x14ac:dyDescent="0.25">
      <c r="B478" s="26" t="str">
        <f>_xlfn.IFNA(IF($A478&lt;&gt;"",VLOOKUP($A478,Protocolos!$A$6:$G$9997,2,FALSE),""),"Não localizado")</f>
        <v/>
      </c>
      <c r="C478" s="31" t="str">
        <f>_xlfn.IFNA(IF($A478&lt;&gt;"",VLOOKUP($A478,Protocolos!$A$6:$G$9997,7,FALSE),""),"Não localizado")</f>
        <v/>
      </c>
      <c r="D478" s="31" t="str">
        <f>_xlfn.IFNA(IF($A478&lt;&gt;"",VLOOKUP($A478,Protocolos!$A$6:$G$9997,6,FALSE),""),"Não localizado")</f>
        <v/>
      </c>
    </row>
    <row r="479" spans="2:4" x14ac:dyDescent="0.25">
      <c r="B479" s="26" t="str">
        <f>_xlfn.IFNA(IF($A479&lt;&gt;"",VLOOKUP($A479,Protocolos!$A$6:$G$9997,2,FALSE),""),"Não localizado")</f>
        <v/>
      </c>
      <c r="C479" s="31" t="str">
        <f>_xlfn.IFNA(IF($A479&lt;&gt;"",VLOOKUP($A479,Protocolos!$A$6:$G$9997,7,FALSE),""),"Não localizado")</f>
        <v/>
      </c>
      <c r="D479" s="31" t="str">
        <f>_xlfn.IFNA(IF($A479&lt;&gt;"",VLOOKUP($A479,Protocolos!$A$6:$G$9997,6,FALSE),""),"Não localizado")</f>
        <v/>
      </c>
    </row>
    <row r="480" spans="2:4" x14ac:dyDescent="0.25">
      <c r="B480" s="26" t="str">
        <f>_xlfn.IFNA(IF($A480&lt;&gt;"",VLOOKUP($A480,Protocolos!$A$6:$G$9997,2,FALSE),""),"Não localizado")</f>
        <v/>
      </c>
      <c r="C480" s="31" t="str">
        <f>_xlfn.IFNA(IF($A480&lt;&gt;"",VLOOKUP($A480,Protocolos!$A$6:$G$9997,7,FALSE),""),"Não localizado")</f>
        <v/>
      </c>
      <c r="D480" s="31" t="str">
        <f>_xlfn.IFNA(IF($A480&lt;&gt;"",VLOOKUP($A480,Protocolos!$A$6:$G$9997,6,FALSE),""),"Não localizado")</f>
        <v/>
      </c>
    </row>
    <row r="481" spans="2:4" x14ac:dyDescent="0.25">
      <c r="B481" s="26" t="str">
        <f>_xlfn.IFNA(IF($A481&lt;&gt;"",VLOOKUP($A481,Protocolos!$A$6:$G$9997,2,FALSE),""),"Não localizado")</f>
        <v/>
      </c>
      <c r="C481" s="31" t="str">
        <f>_xlfn.IFNA(IF($A481&lt;&gt;"",VLOOKUP($A481,Protocolos!$A$6:$G$9997,7,FALSE),""),"Não localizado")</f>
        <v/>
      </c>
      <c r="D481" s="31" t="str">
        <f>_xlfn.IFNA(IF($A481&lt;&gt;"",VLOOKUP($A481,Protocolos!$A$6:$G$9997,6,FALSE),""),"Não localizado")</f>
        <v/>
      </c>
    </row>
    <row r="482" spans="2:4" x14ac:dyDescent="0.25">
      <c r="B482" s="26" t="str">
        <f>_xlfn.IFNA(IF($A482&lt;&gt;"",VLOOKUP($A482,Protocolos!$A$6:$G$9997,2,FALSE),""),"Não localizado")</f>
        <v/>
      </c>
      <c r="C482" s="31" t="str">
        <f>_xlfn.IFNA(IF($A482&lt;&gt;"",VLOOKUP($A482,Protocolos!$A$6:$G$9997,7,FALSE),""),"Não localizado")</f>
        <v/>
      </c>
      <c r="D482" s="31" t="str">
        <f>_xlfn.IFNA(IF($A482&lt;&gt;"",VLOOKUP($A482,Protocolos!$A$6:$G$9997,6,FALSE),""),"Não localizado")</f>
        <v/>
      </c>
    </row>
    <row r="483" spans="2:4" x14ac:dyDescent="0.25">
      <c r="B483" s="26" t="str">
        <f>_xlfn.IFNA(IF($A483&lt;&gt;"",VLOOKUP($A483,Protocolos!$A$6:$G$9997,2,FALSE),""),"Não localizado")</f>
        <v/>
      </c>
      <c r="C483" s="31" t="str">
        <f>_xlfn.IFNA(IF($A483&lt;&gt;"",VLOOKUP($A483,Protocolos!$A$6:$G$9997,7,FALSE),""),"Não localizado")</f>
        <v/>
      </c>
      <c r="D483" s="31" t="str">
        <f>_xlfn.IFNA(IF($A483&lt;&gt;"",VLOOKUP($A483,Protocolos!$A$6:$G$9997,6,FALSE),""),"Não localizado")</f>
        <v/>
      </c>
    </row>
    <row r="484" spans="2:4" x14ac:dyDescent="0.25">
      <c r="B484" s="26" t="str">
        <f>_xlfn.IFNA(IF($A484&lt;&gt;"",VLOOKUP($A484,Protocolos!$A$6:$G$9997,2,FALSE),""),"Não localizado")</f>
        <v/>
      </c>
      <c r="C484" s="31" t="str">
        <f>_xlfn.IFNA(IF($A484&lt;&gt;"",VLOOKUP($A484,Protocolos!$A$6:$G$9997,7,FALSE),""),"Não localizado")</f>
        <v/>
      </c>
      <c r="D484" s="31" t="str">
        <f>_xlfn.IFNA(IF($A484&lt;&gt;"",VLOOKUP($A484,Protocolos!$A$6:$G$9997,6,FALSE),""),"Não localizado")</f>
        <v/>
      </c>
    </row>
    <row r="485" spans="2:4" x14ac:dyDescent="0.25">
      <c r="B485" s="26" t="str">
        <f>_xlfn.IFNA(IF($A485&lt;&gt;"",VLOOKUP($A485,Protocolos!$A$6:$G$9997,2,FALSE),""),"Não localizado")</f>
        <v/>
      </c>
      <c r="C485" s="31" t="str">
        <f>_xlfn.IFNA(IF($A485&lt;&gt;"",VLOOKUP($A485,Protocolos!$A$6:$G$9997,7,FALSE),""),"Não localizado")</f>
        <v/>
      </c>
      <c r="D485" s="31" t="str">
        <f>_xlfn.IFNA(IF($A485&lt;&gt;"",VLOOKUP($A485,Protocolos!$A$6:$G$9997,6,FALSE),""),"Não localizado")</f>
        <v/>
      </c>
    </row>
    <row r="486" spans="2:4" x14ac:dyDescent="0.25">
      <c r="B486" s="26" t="str">
        <f>_xlfn.IFNA(IF($A486&lt;&gt;"",VLOOKUP($A486,Protocolos!$A$6:$G$9997,2,FALSE),""),"Não localizado")</f>
        <v/>
      </c>
      <c r="C486" s="31" t="str">
        <f>_xlfn.IFNA(IF($A486&lt;&gt;"",VLOOKUP($A486,Protocolos!$A$6:$G$9997,7,FALSE),""),"Não localizado")</f>
        <v/>
      </c>
      <c r="D486" s="31" t="str">
        <f>_xlfn.IFNA(IF($A486&lt;&gt;"",VLOOKUP($A486,Protocolos!$A$6:$G$9997,6,FALSE),""),"Não localizado")</f>
        <v/>
      </c>
    </row>
    <row r="487" spans="2:4" x14ac:dyDescent="0.25">
      <c r="B487" s="26" t="str">
        <f>_xlfn.IFNA(IF($A487&lt;&gt;"",VLOOKUP($A487,Protocolos!$A$6:$G$9997,2,FALSE),""),"Não localizado")</f>
        <v/>
      </c>
      <c r="C487" s="31" t="str">
        <f>_xlfn.IFNA(IF($A487&lt;&gt;"",VLOOKUP($A487,Protocolos!$A$6:$G$9997,7,FALSE),""),"Não localizado")</f>
        <v/>
      </c>
      <c r="D487" s="31" t="str">
        <f>_xlfn.IFNA(IF($A487&lt;&gt;"",VLOOKUP($A487,Protocolos!$A$6:$G$9997,6,FALSE),""),"Não localizado")</f>
        <v/>
      </c>
    </row>
    <row r="488" spans="2:4" x14ac:dyDescent="0.25">
      <c r="B488" s="26" t="str">
        <f>_xlfn.IFNA(IF($A488&lt;&gt;"",VLOOKUP($A488,Protocolos!$A$6:$G$9997,2,FALSE),""),"Não localizado")</f>
        <v/>
      </c>
      <c r="C488" s="31" t="str">
        <f>_xlfn.IFNA(IF($A488&lt;&gt;"",VLOOKUP($A488,Protocolos!$A$6:$G$9997,7,FALSE),""),"Não localizado")</f>
        <v/>
      </c>
      <c r="D488" s="31" t="str">
        <f>_xlfn.IFNA(IF($A488&lt;&gt;"",VLOOKUP($A488,Protocolos!$A$6:$G$9997,6,FALSE),""),"Não localizado")</f>
        <v/>
      </c>
    </row>
    <row r="489" spans="2:4" x14ac:dyDescent="0.25">
      <c r="B489" s="26" t="str">
        <f>_xlfn.IFNA(IF($A489&lt;&gt;"",VLOOKUP($A489,Protocolos!$A$6:$G$9997,2,FALSE),""),"Não localizado")</f>
        <v/>
      </c>
      <c r="C489" s="31" t="str">
        <f>_xlfn.IFNA(IF($A489&lt;&gt;"",VLOOKUP($A489,Protocolos!$A$6:$G$9997,7,FALSE),""),"Não localizado")</f>
        <v/>
      </c>
      <c r="D489" s="31" t="str">
        <f>_xlfn.IFNA(IF($A489&lt;&gt;"",VLOOKUP($A489,Protocolos!$A$6:$G$9997,6,FALSE),""),"Não localizado")</f>
        <v/>
      </c>
    </row>
    <row r="490" spans="2:4" x14ac:dyDescent="0.25">
      <c r="B490" s="26" t="str">
        <f>_xlfn.IFNA(IF($A490&lt;&gt;"",VLOOKUP($A490,Protocolos!$A$6:$G$9997,2,FALSE),""),"Não localizado")</f>
        <v/>
      </c>
      <c r="C490" s="31" t="str">
        <f>_xlfn.IFNA(IF($A490&lt;&gt;"",VLOOKUP($A490,Protocolos!$A$6:$G$9997,7,FALSE),""),"Não localizado")</f>
        <v/>
      </c>
      <c r="D490" s="31" t="str">
        <f>_xlfn.IFNA(IF($A490&lt;&gt;"",VLOOKUP($A490,Protocolos!$A$6:$G$9997,6,FALSE),""),"Não localizado")</f>
        <v/>
      </c>
    </row>
    <row r="491" spans="2:4" x14ac:dyDescent="0.25">
      <c r="B491" s="26" t="str">
        <f>_xlfn.IFNA(IF($A491&lt;&gt;"",VLOOKUP($A491,Protocolos!$A$6:$G$9997,2,FALSE),""),"Não localizado")</f>
        <v/>
      </c>
      <c r="C491" s="31" t="str">
        <f>_xlfn.IFNA(IF($A491&lt;&gt;"",VLOOKUP($A491,Protocolos!$A$6:$G$9997,7,FALSE),""),"Não localizado")</f>
        <v/>
      </c>
      <c r="D491" s="31" t="str">
        <f>_xlfn.IFNA(IF($A491&lt;&gt;"",VLOOKUP($A491,Protocolos!$A$6:$G$9997,6,FALSE),""),"Não localizado")</f>
        <v/>
      </c>
    </row>
    <row r="492" spans="2:4" x14ac:dyDescent="0.25">
      <c r="B492" s="26" t="str">
        <f>_xlfn.IFNA(IF($A492&lt;&gt;"",VLOOKUP($A492,Protocolos!$A$6:$G$9997,2,FALSE),""),"Não localizado")</f>
        <v/>
      </c>
      <c r="C492" s="31" t="str">
        <f>_xlfn.IFNA(IF($A492&lt;&gt;"",VLOOKUP($A492,Protocolos!$A$6:$G$9997,7,FALSE),""),"Não localizado")</f>
        <v/>
      </c>
      <c r="D492" s="31" t="str">
        <f>_xlfn.IFNA(IF($A492&lt;&gt;"",VLOOKUP($A492,Protocolos!$A$6:$G$9997,6,FALSE),""),"Não localizado")</f>
        <v/>
      </c>
    </row>
    <row r="493" spans="2:4" x14ac:dyDescent="0.25">
      <c r="B493" s="26" t="str">
        <f>_xlfn.IFNA(IF($A493&lt;&gt;"",VLOOKUP($A493,Protocolos!$A$6:$G$9997,2,FALSE),""),"Não localizado")</f>
        <v/>
      </c>
      <c r="C493" s="31" t="str">
        <f>_xlfn.IFNA(IF($A493&lt;&gt;"",VLOOKUP($A493,Protocolos!$A$6:$G$9997,7,FALSE),""),"Não localizado")</f>
        <v/>
      </c>
      <c r="D493" s="31" t="str">
        <f>_xlfn.IFNA(IF($A493&lt;&gt;"",VLOOKUP($A493,Protocolos!$A$6:$G$9997,6,FALSE),""),"Não localizado")</f>
        <v/>
      </c>
    </row>
    <row r="494" spans="2:4" x14ac:dyDescent="0.25">
      <c r="B494" s="26" t="str">
        <f>_xlfn.IFNA(IF($A494&lt;&gt;"",VLOOKUP($A494,Protocolos!$A$6:$G$9997,2,FALSE),""),"Não localizado")</f>
        <v/>
      </c>
      <c r="C494" s="31" t="str">
        <f>_xlfn.IFNA(IF($A494&lt;&gt;"",VLOOKUP($A494,Protocolos!$A$6:$G$9997,7,FALSE),""),"Não localizado")</f>
        <v/>
      </c>
      <c r="D494" s="31" t="str">
        <f>_xlfn.IFNA(IF($A494&lt;&gt;"",VLOOKUP($A494,Protocolos!$A$6:$G$9997,6,FALSE),""),"Não localizado")</f>
        <v/>
      </c>
    </row>
    <row r="495" spans="2:4" x14ac:dyDescent="0.25">
      <c r="B495" s="26" t="str">
        <f>_xlfn.IFNA(IF($A495&lt;&gt;"",VLOOKUP($A495,Protocolos!$A$6:$G$9997,2,FALSE),""),"Não localizado")</f>
        <v/>
      </c>
      <c r="C495" s="31" t="str">
        <f>_xlfn.IFNA(IF($A495&lt;&gt;"",VLOOKUP($A495,Protocolos!$A$6:$G$9997,7,FALSE),""),"Não localizado")</f>
        <v/>
      </c>
      <c r="D495" s="31" t="str">
        <f>_xlfn.IFNA(IF($A495&lt;&gt;"",VLOOKUP($A495,Protocolos!$A$6:$G$9997,6,FALSE),""),"Não localizado")</f>
        <v/>
      </c>
    </row>
    <row r="496" spans="2:4" x14ac:dyDescent="0.25">
      <c r="B496" s="26" t="str">
        <f>_xlfn.IFNA(IF($A496&lt;&gt;"",VLOOKUP($A496,Protocolos!$A$6:$G$9997,2,FALSE),""),"Não localizado")</f>
        <v/>
      </c>
      <c r="C496" s="31" t="str">
        <f>_xlfn.IFNA(IF($A496&lt;&gt;"",VLOOKUP($A496,Protocolos!$A$6:$G$9997,7,FALSE),""),"Não localizado")</f>
        <v/>
      </c>
      <c r="D496" s="31" t="str">
        <f>_xlfn.IFNA(IF($A496&lt;&gt;"",VLOOKUP($A496,Protocolos!$A$6:$G$9997,6,FALSE),""),"Não localizado")</f>
        <v/>
      </c>
    </row>
    <row r="497" spans="2:4" x14ac:dyDescent="0.25">
      <c r="B497" s="26" t="str">
        <f>_xlfn.IFNA(IF($A497&lt;&gt;"",VLOOKUP($A497,Protocolos!$A$6:$G$9997,2,FALSE),""),"Não localizado")</f>
        <v/>
      </c>
      <c r="C497" s="31" t="str">
        <f>_xlfn.IFNA(IF($A497&lt;&gt;"",VLOOKUP($A497,Protocolos!$A$6:$G$9997,7,FALSE),""),"Não localizado")</f>
        <v/>
      </c>
      <c r="D497" s="31" t="str">
        <f>_xlfn.IFNA(IF($A497&lt;&gt;"",VLOOKUP($A497,Protocolos!$A$6:$G$9997,6,FALSE),""),"Não localizado")</f>
        <v/>
      </c>
    </row>
    <row r="498" spans="2:4" x14ac:dyDescent="0.25">
      <c r="B498" s="26" t="str">
        <f>_xlfn.IFNA(IF($A498&lt;&gt;"",VLOOKUP($A498,Protocolos!$A$6:$G$9997,2,FALSE),""),"Não localizado")</f>
        <v/>
      </c>
      <c r="C498" s="31" t="str">
        <f>_xlfn.IFNA(IF($A498&lt;&gt;"",VLOOKUP($A498,Protocolos!$A$6:$G$9997,7,FALSE),""),"Não localizado")</f>
        <v/>
      </c>
      <c r="D498" s="31" t="str">
        <f>_xlfn.IFNA(IF($A498&lt;&gt;"",VLOOKUP($A498,Protocolos!$A$6:$G$9997,6,FALSE),""),"Não localizado")</f>
        <v/>
      </c>
    </row>
    <row r="499" spans="2:4" x14ac:dyDescent="0.25">
      <c r="B499" s="26" t="str">
        <f>_xlfn.IFNA(IF($A499&lt;&gt;"",VLOOKUP($A499,Protocolos!$A$6:$G$9997,2,FALSE),""),"Não localizado")</f>
        <v/>
      </c>
      <c r="C499" s="31" t="str">
        <f>_xlfn.IFNA(IF($A499&lt;&gt;"",VLOOKUP($A499,Protocolos!$A$6:$G$9997,7,FALSE),""),"Não localizado")</f>
        <v/>
      </c>
      <c r="D499" s="31" t="str">
        <f>_xlfn.IFNA(IF($A499&lt;&gt;"",VLOOKUP($A499,Protocolos!$A$6:$G$9997,6,FALSE),""),"Não localizado")</f>
        <v/>
      </c>
    </row>
    <row r="500" spans="2:4" x14ac:dyDescent="0.25">
      <c r="B500" s="26" t="str">
        <f>_xlfn.IFNA(IF($A500&lt;&gt;"",VLOOKUP($A500,Protocolos!$A$6:$G$9997,2,FALSE),""),"Não localizado")</f>
        <v/>
      </c>
      <c r="C500" s="31" t="str">
        <f>_xlfn.IFNA(IF($A500&lt;&gt;"",VLOOKUP($A500,Protocolos!$A$6:$G$9997,7,FALSE),""),"Não localizado")</f>
        <v/>
      </c>
      <c r="D500" s="31" t="str">
        <f>_xlfn.IFNA(IF($A500&lt;&gt;"",VLOOKUP($A500,Protocolos!$A$6:$G$9997,6,FALSE),""),"Não localizado")</f>
        <v/>
      </c>
    </row>
  </sheetData>
  <sheetProtection formatCells="0" formatColumns="0" formatRows="0"/>
  <autoFilter ref="A1:D500" xr:uid="{C215BCF8-4E43-4CD8-8147-BDCFD5AA3F23}"/>
  <conditionalFormatting sqref="D1 D501:D1048576">
    <cfRule type="cellIs" dxfId="1" priority="3" operator="equal">
      <formula>"Pendente"</formula>
    </cfRule>
  </conditionalFormatting>
  <conditionalFormatting sqref="B2:D500">
    <cfRule type="cellIs" dxfId="0" priority="2" operator="equal">
      <formula>"Não localizado"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EFCAC16C5C1F4E488A8DE818D45F9E36" ma:contentTypeVersion="11" ma:contentTypeDescription="Crie um novo documento." ma:contentTypeScope="" ma:versionID="6fe663dfd6fa089591b9892d45336a43">
  <xsd:schema xmlns:xsd="http://www.w3.org/2001/XMLSchema" xmlns:xs="http://www.w3.org/2001/XMLSchema" xmlns:p="http://schemas.microsoft.com/office/2006/metadata/properties" xmlns:ns3="b5d5aaf0-2255-476f-8cee-0d92208154fa" xmlns:ns4="fd75c14f-259a-4404-9d86-0eb05765b87e" targetNamespace="http://schemas.microsoft.com/office/2006/metadata/properties" ma:root="true" ma:fieldsID="f7eee3567bdbdcf042006ef79f11ecfc" ns3:_="" ns4:_="">
    <xsd:import namespace="b5d5aaf0-2255-476f-8cee-0d92208154fa"/>
    <xsd:import namespace="fd75c14f-259a-4404-9d86-0eb05765b87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d5aaf0-2255-476f-8cee-0d92208154f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75c14f-259a-4404-9d86-0eb05765b87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E5E209-FCA2-478D-BD88-E4491F433A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d5aaf0-2255-476f-8cee-0d92208154fa"/>
    <ds:schemaRef ds:uri="fd75c14f-259a-4404-9d86-0eb05765b8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997BCCC-55A9-4063-B0F3-53A6B1246000}">
  <ds:schemaRefs>
    <ds:schemaRef ds:uri="http://schemas.microsoft.com/office/2006/documentManagement/types"/>
    <ds:schemaRef ds:uri="http://schemas.microsoft.com/office/infopath/2007/PartnerControls"/>
    <ds:schemaRef ds:uri="http://purl.org/dc/terms/"/>
    <ds:schemaRef ds:uri="http://purl.org/dc/elements/1.1/"/>
    <ds:schemaRef ds:uri="http://purl.org/dc/dcmitype/"/>
    <ds:schemaRef ds:uri="http://schemas.microsoft.com/office/2006/metadata/properties"/>
    <ds:schemaRef ds:uri="http://schemas.openxmlformats.org/package/2006/metadata/core-properties"/>
    <ds:schemaRef ds:uri="fd75c14f-259a-4404-9d86-0eb05765b87e"/>
    <ds:schemaRef ds:uri="b5d5aaf0-2255-476f-8cee-0d92208154f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33724B-0B62-434B-A7BF-3B2B0D5D643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Protocolos</vt:lpstr>
      <vt:lpstr>VerifyProtocol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Braga</dc:creator>
  <cp:keywords/>
  <dc:description/>
  <cp:lastModifiedBy>David Braga</cp:lastModifiedBy>
  <cp:revision/>
  <dcterms:created xsi:type="dcterms:W3CDTF">2021-11-24T17:53:37Z</dcterms:created>
  <dcterms:modified xsi:type="dcterms:W3CDTF">2021-12-23T21:39:50Z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0x010100EFCAC16C5C1F4E488A8DE818D45F9E36</vt:lpwstr>
  </property>
</Properties>
</file>