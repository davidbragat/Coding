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efazmg-my.sharepoint.com/personal/david_teodoro_fazenda_mg_gov_br/Documents/Setores/ITCD/Planilhas/"/>
    </mc:Choice>
  </mc:AlternateContent>
  <xr:revisionPtr revIDLastSave="3948" documentId="14_{6323F102-FF18-4BE5-B839-3240D0B2E348}" xr6:coauthVersionLast="47" xr6:coauthVersionMax="47" xr10:uidLastSave="{329822EA-F478-4C26-9B7E-0FE293452759}"/>
  <bookViews>
    <workbookView xWindow="28680" yWindow="4410" windowWidth="20730" windowHeight="11310" xr2:uid="{3C1F3063-01E4-45EC-8E07-A7E08332D37B}"/>
  </bookViews>
  <sheets>
    <sheet name="Protocolos" sheetId="1" r:id="rId1"/>
    <sheet name="VerifyProtocol" sheetId="2" r:id="rId2"/>
  </sheets>
  <definedNames>
    <definedName name="_xlnm._FilterDatabase" localSheetId="0" hidden="1">Protocolos!$A$5:$G$226</definedName>
    <definedName name="_xlnm._FilterDatabase" localSheetId="1" hidden="1">VerifyProtocol!$A$4:$D$509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2" l="1"/>
  <c r="C5" i="2"/>
  <c r="D5" i="2"/>
  <c r="B6" i="2"/>
  <c r="C6" i="2"/>
  <c r="D6" i="2"/>
  <c r="B7" i="2"/>
  <c r="C7" i="2"/>
  <c r="D7" i="2"/>
  <c r="B8" i="2"/>
  <c r="C8" i="2"/>
  <c r="D8" i="2"/>
  <c r="B9" i="2"/>
  <c r="C9" i="2"/>
  <c r="D9" i="2"/>
  <c r="B10" i="2"/>
  <c r="C10" i="2"/>
  <c r="D10" i="2"/>
  <c r="B11" i="2"/>
  <c r="C11" i="2"/>
  <c r="D11" i="2"/>
  <c r="B12" i="2"/>
  <c r="C12" i="2"/>
  <c r="D12" i="2"/>
  <c r="B13" i="2"/>
  <c r="C13" i="2"/>
  <c r="D13" i="2"/>
  <c r="B14" i="2"/>
  <c r="C14" i="2"/>
  <c r="D14" i="2"/>
  <c r="B15" i="2"/>
  <c r="C15" i="2"/>
  <c r="D15" i="2"/>
  <c r="B16" i="2"/>
  <c r="C16" i="2"/>
  <c r="D16" i="2"/>
  <c r="B17" i="2"/>
  <c r="C17" i="2"/>
  <c r="D17" i="2"/>
  <c r="B18" i="2"/>
  <c r="C18" i="2"/>
  <c r="D18" i="2"/>
  <c r="B19" i="2"/>
  <c r="C19" i="2"/>
  <c r="D19" i="2"/>
  <c r="B20" i="2"/>
  <c r="C20" i="2"/>
  <c r="D20" i="2"/>
  <c r="B21" i="2"/>
  <c r="C21" i="2"/>
  <c r="D21" i="2"/>
  <c r="B22" i="2"/>
  <c r="C22" i="2"/>
  <c r="D22" i="2"/>
  <c r="B23" i="2"/>
  <c r="C23" i="2"/>
  <c r="D23" i="2"/>
  <c r="B24" i="2"/>
  <c r="C24" i="2"/>
  <c r="D24" i="2"/>
  <c r="B25" i="2"/>
  <c r="C25" i="2"/>
  <c r="D25" i="2"/>
  <c r="B26" i="2"/>
  <c r="C26" i="2"/>
  <c r="D26" i="2"/>
  <c r="B27" i="2"/>
  <c r="C27" i="2"/>
  <c r="D27" i="2"/>
  <c r="B28" i="2"/>
  <c r="C28" i="2"/>
  <c r="D28" i="2"/>
  <c r="B29" i="2"/>
  <c r="C29" i="2"/>
  <c r="D29" i="2"/>
  <c r="B30" i="2"/>
  <c r="C30" i="2"/>
  <c r="D30" i="2"/>
  <c r="B31" i="2"/>
  <c r="C31" i="2"/>
  <c r="D31" i="2"/>
  <c r="B32" i="2"/>
  <c r="C32" i="2"/>
  <c r="D32" i="2"/>
  <c r="B33" i="2"/>
  <c r="C33" i="2"/>
  <c r="D33" i="2"/>
  <c r="B34" i="2"/>
  <c r="C34" i="2"/>
  <c r="D34" i="2"/>
  <c r="B35" i="2"/>
  <c r="C35" i="2"/>
  <c r="D35" i="2"/>
  <c r="E137" i="1"/>
  <c r="L5" i="1" l="1"/>
  <c r="B36" i="2" l="1"/>
  <c r="C36" i="2"/>
  <c r="D36" i="2"/>
  <c r="B37" i="2"/>
  <c r="C37" i="2"/>
  <c r="D37" i="2"/>
  <c r="B38" i="2"/>
  <c r="C38" i="2"/>
  <c r="D38" i="2"/>
  <c r="B39" i="2"/>
  <c r="C39" i="2"/>
  <c r="D39" i="2"/>
  <c r="B40" i="2"/>
  <c r="C40" i="2"/>
  <c r="D40" i="2"/>
  <c r="B41" i="2"/>
  <c r="C41" i="2"/>
  <c r="D41" i="2"/>
  <c r="B42" i="2"/>
  <c r="C42" i="2"/>
  <c r="D42" i="2"/>
  <c r="B43" i="2"/>
  <c r="C43" i="2"/>
  <c r="D43" i="2"/>
  <c r="O5" i="1" l="1"/>
  <c r="O4" i="1"/>
  <c r="O3" i="1"/>
  <c r="B44" i="2" l="1"/>
  <c r="C44" i="2"/>
  <c r="D44" i="2"/>
  <c r="B45" i="2"/>
  <c r="C45" i="2"/>
  <c r="D45" i="2"/>
  <c r="N5" i="1"/>
  <c r="N4" i="1"/>
  <c r="E17" i="1" l="1"/>
  <c r="B46" i="2" l="1"/>
  <c r="C46" i="2"/>
  <c r="D46" i="2"/>
  <c r="B47" i="2"/>
  <c r="C47" i="2"/>
  <c r="D47" i="2"/>
  <c r="B48" i="2"/>
  <c r="C48" i="2"/>
  <c r="D48" i="2"/>
  <c r="B49" i="2"/>
  <c r="C49" i="2"/>
  <c r="D49" i="2"/>
  <c r="B50" i="2"/>
  <c r="C50" i="2"/>
  <c r="D50" i="2"/>
  <c r="B51" i="2"/>
  <c r="C51" i="2"/>
  <c r="D51" i="2"/>
  <c r="B52" i="2"/>
  <c r="C52" i="2"/>
  <c r="D52" i="2"/>
  <c r="B53" i="2"/>
  <c r="C53" i="2"/>
  <c r="D53" i="2"/>
  <c r="B54" i="2"/>
  <c r="C54" i="2"/>
  <c r="D54" i="2"/>
  <c r="B55" i="2"/>
  <c r="C55" i="2"/>
  <c r="D55" i="2"/>
  <c r="B56" i="2"/>
  <c r="C56" i="2"/>
  <c r="D56" i="2"/>
  <c r="B57" i="2"/>
  <c r="C57" i="2"/>
  <c r="D57" i="2"/>
  <c r="B58" i="2"/>
  <c r="C58" i="2"/>
  <c r="D58" i="2"/>
  <c r="B59" i="2"/>
  <c r="C59" i="2"/>
  <c r="D59" i="2"/>
  <c r="B60" i="2"/>
  <c r="C60" i="2"/>
  <c r="D60" i="2"/>
  <c r="B61" i="2"/>
  <c r="C61" i="2"/>
  <c r="D61" i="2"/>
  <c r="B62" i="2"/>
  <c r="C62" i="2"/>
  <c r="D62" i="2"/>
  <c r="B63" i="2"/>
  <c r="C63" i="2"/>
  <c r="D63" i="2"/>
  <c r="B64" i="2"/>
  <c r="C64" i="2"/>
  <c r="D64" i="2"/>
  <c r="B65" i="2"/>
  <c r="C65" i="2"/>
  <c r="D65" i="2"/>
  <c r="B66" i="2"/>
  <c r="C66" i="2"/>
  <c r="D66" i="2"/>
  <c r="B67" i="2"/>
  <c r="C67" i="2"/>
  <c r="D67" i="2"/>
  <c r="B68" i="2"/>
  <c r="C68" i="2"/>
  <c r="D68" i="2"/>
  <c r="B69" i="2"/>
  <c r="C69" i="2"/>
  <c r="D69" i="2"/>
  <c r="B70" i="2"/>
  <c r="C70" i="2"/>
  <c r="D70" i="2"/>
  <c r="B71" i="2"/>
  <c r="C71" i="2"/>
  <c r="D71" i="2"/>
  <c r="B72" i="2"/>
  <c r="C72" i="2"/>
  <c r="D72" i="2"/>
  <c r="B73" i="2"/>
  <c r="C73" i="2"/>
  <c r="D73" i="2"/>
  <c r="B74" i="2"/>
  <c r="C74" i="2"/>
  <c r="D74" i="2"/>
  <c r="B75" i="2"/>
  <c r="C75" i="2"/>
  <c r="D75" i="2"/>
  <c r="B76" i="2"/>
  <c r="C76" i="2"/>
  <c r="D76" i="2"/>
  <c r="B77" i="2"/>
  <c r="C77" i="2"/>
  <c r="D77" i="2"/>
  <c r="B78" i="2"/>
  <c r="C78" i="2"/>
  <c r="D78" i="2"/>
  <c r="B79" i="2"/>
  <c r="C79" i="2"/>
  <c r="D79" i="2"/>
  <c r="B80" i="2"/>
  <c r="C80" i="2"/>
  <c r="D80" i="2"/>
  <c r="B81" i="2"/>
  <c r="C81" i="2"/>
  <c r="D81" i="2"/>
  <c r="B82" i="2"/>
  <c r="C82" i="2"/>
  <c r="D82" i="2"/>
  <c r="B83" i="2"/>
  <c r="C83" i="2"/>
  <c r="D83" i="2"/>
  <c r="B84" i="2"/>
  <c r="C84" i="2"/>
  <c r="D84" i="2"/>
  <c r="B85" i="2"/>
  <c r="C85" i="2"/>
  <c r="D85" i="2"/>
  <c r="B86" i="2"/>
  <c r="C86" i="2"/>
  <c r="D86" i="2"/>
  <c r="B87" i="2"/>
  <c r="C87" i="2"/>
  <c r="D87" i="2"/>
  <c r="B88" i="2"/>
  <c r="C88" i="2"/>
  <c r="D88" i="2"/>
  <c r="B89" i="2"/>
  <c r="C89" i="2"/>
  <c r="D89" i="2"/>
  <c r="B90" i="2"/>
  <c r="C90" i="2"/>
  <c r="D90" i="2"/>
  <c r="B91" i="2"/>
  <c r="C91" i="2"/>
  <c r="D91" i="2"/>
  <c r="B92" i="2"/>
  <c r="C92" i="2"/>
  <c r="D92" i="2"/>
  <c r="B93" i="2"/>
  <c r="C93" i="2"/>
  <c r="D93" i="2"/>
  <c r="B94" i="2"/>
  <c r="C94" i="2"/>
  <c r="D94" i="2"/>
  <c r="B95" i="2"/>
  <c r="C95" i="2"/>
  <c r="D95" i="2"/>
  <c r="B96" i="2"/>
  <c r="C96" i="2"/>
  <c r="D96" i="2"/>
  <c r="B97" i="2"/>
  <c r="C97" i="2"/>
  <c r="D97" i="2"/>
  <c r="B98" i="2"/>
  <c r="C98" i="2"/>
  <c r="D98" i="2"/>
  <c r="B99" i="2"/>
  <c r="C99" i="2"/>
  <c r="D99" i="2"/>
  <c r="B100" i="2"/>
  <c r="C100" i="2"/>
  <c r="D100" i="2"/>
  <c r="B101" i="2"/>
  <c r="C101" i="2"/>
  <c r="D101" i="2"/>
  <c r="B102" i="2"/>
  <c r="C102" i="2"/>
  <c r="D102" i="2"/>
  <c r="B103" i="2"/>
  <c r="C103" i="2"/>
  <c r="D103" i="2"/>
  <c r="B104" i="2"/>
  <c r="C104" i="2"/>
  <c r="D104" i="2"/>
  <c r="B105" i="2"/>
  <c r="C105" i="2"/>
  <c r="D105" i="2"/>
  <c r="B106" i="2"/>
  <c r="C106" i="2"/>
  <c r="D106" i="2"/>
  <c r="B107" i="2"/>
  <c r="C107" i="2"/>
  <c r="D107" i="2"/>
  <c r="B108" i="2"/>
  <c r="C108" i="2"/>
  <c r="D108" i="2"/>
  <c r="B109" i="2"/>
  <c r="C109" i="2"/>
  <c r="D109" i="2"/>
  <c r="B110" i="2"/>
  <c r="C110" i="2"/>
  <c r="D110" i="2"/>
  <c r="B111" i="2"/>
  <c r="C111" i="2"/>
  <c r="D111" i="2"/>
  <c r="B112" i="2"/>
  <c r="C112" i="2"/>
  <c r="D112" i="2"/>
  <c r="B113" i="2"/>
  <c r="C113" i="2"/>
  <c r="D113" i="2"/>
  <c r="B114" i="2"/>
  <c r="C114" i="2"/>
  <c r="D114" i="2"/>
  <c r="B115" i="2"/>
  <c r="C115" i="2"/>
  <c r="D115" i="2"/>
  <c r="B116" i="2"/>
  <c r="C116" i="2"/>
  <c r="D116" i="2"/>
  <c r="B117" i="2"/>
  <c r="C117" i="2"/>
  <c r="D117" i="2"/>
  <c r="B118" i="2"/>
  <c r="C118" i="2"/>
  <c r="D118" i="2"/>
  <c r="B119" i="2"/>
  <c r="C119" i="2"/>
  <c r="D119" i="2"/>
  <c r="B120" i="2"/>
  <c r="C120" i="2"/>
  <c r="D120" i="2"/>
  <c r="B121" i="2"/>
  <c r="C121" i="2"/>
  <c r="D121" i="2"/>
  <c r="B122" i="2"/>
  <c r="C122" i="2"/>
  <c r="D122" i="2"/>
  <c r="B123" i="2"/>
  <c r="C123" i="2"/>
  <c r="D123" i="2"/>
  <c r="B124" i="2"/>
  <c r="C124" i="2"/>
  <c r="D124" i="2"/>
  <c r="B125" i="2"/>
  <c r="C125" i="2"/>
  <c r="D125" i="2"/>
  <c r="B126" i="2"/>
  <c r="C126" i="2"/>
  <c r="D126" i="2"/>
  <c r="B127" i="2"/>
  <c r="C127" i="2"/>
  <c r="D127" i="2"/>
  <c r="B128" i="2"/>
  <c r="C128" i="2"/>
  <c r="D128" i="2"/>
  <c r="B129" i="2"/>
  <c r="C129" i="2"/>
  <c r="D129" i="2"/>
  <c r="B130" i="2"/>
  <c r="C130" i="2"/>
  <c r="D130" i="2"/>
  <c r="B131" i="2"/>
  <c r="C131" i="2"/>
  <c r="D131" i="2"/>
  <c r="B132" i="2"/>
  <c r="C132" i="2"/>
  <c r="D132" i="2"/>
  <c r="B133" i="2"/>
  <c r="C133" i="2"/>
  <c r="D133" i="2"/>
  <c r="B134" i="2"/>
  <c r="C134" i="2"/>
  <c r="D134" i="2"/>
  <c r="B135" i="2"/>
  <c r="C135" i="2"/>
  <c r="D135" i="2"/>
  <c r="B136" i="2"/>
  <c r="C136" i="2"/>
  <c r="D136" i="2"/>
  <c r="B137" i="2"/>
  <c r="C137" i="2"/>
  <c r="D137" i="2"/>
  <c r="B138" i="2"/>
  <c r="C138" i="2"/>
  <c r="D138" i="2"/>
  <c r="B139" i="2"/>
  <c r="C139" i="2"/>
  <c r="D139" i="2"/>
  <c r="B140" i="2"/>
  <c r="C140" i="2"/>
  <c r="D140" i="2"/>
  <c r="B141" i="2"/>
  <c r="C141" i="2"/>
  <c r="D141" i="2"/>
  <c r="B142" i="2"/>
  <c r="C142" i="2"/>
  <c r="D142" i="2"/>
  <c r="B143" i="2"/>
  <c r="C143" i="2"/>
  <c r="D143" i="2"/>
  <c r="B144" i="2"/>
  <c r="C144" i="2"/>
  <c r="D144" i="2"/>
  <c r="B145" i="2"/>
  <c r="C145" i="2"/>
  <c r="D145" i="2"/>
  <c r="B146" i="2"/>
  <c r="C146" i="2"/>
  <c r="D146" i="2"/>
  <c r="B147" i="2"/>
  <c r="C147" i="2"/>
  <c r="D147" i="2"/>
  <c r="B148" i="2"/>
  <c r="C148" i="2"/>
  <c r="D148" i="2"/>
  <c r="B149" i="2"/>
  <c r="C149" i="2"/>
  <c r="D149" i="2"/>
  <c r="B150" i="2"/>
  <c r="C150" i="2"/>
  <c r="D150" i="2"/>
  <c r="B151" i="2"/>
  <c r="C151" i="2"/>
  <c r="D151" i="2"/>
  <c r="B152" i="2"/>
  <c r="C152" i="2"/>
  <c r="D152" i="2"/>
  <c r="B153" i="2"/>
  <c r="C153" i="2"/>
  <c r="D153" i="2"/>
  <c r="B154" i="2"/>
  <c r="C154" i="2"/>
  <c r="D154" i="2"/>
  <c r="B155" i="2"/>
  <c r="C155" i="2"/>
  <c r="D155" i="2"/>
  <c r="B156" i="2"/>
  <c r="C156" i="2"/>
  <c r="D156" i="2"/>
  <c r="B157" i="2"/>
  <c r="C157" i="2"/>
  <c r="D157" i="2"/>
  <c r="B158" i="2"/>
  <c r="C158" i="2"/>
  <c r="D158" i="2"/>
  <c r="B159" i="2"/>
  <c r="C159" i="2"/>
  <c r="D159" i="2"/>
  <c r="B160" i="2"/>
  <c r="C160" i="2"/>
  <c r="D160" i="2"/>
  <c r="B161" i="2"/>
  <c r="C161" i="2"/>
  <c r="D161" i="2"/>
  <c r="B162" i="2"/>
  <c r="C162" i="2"/>
  <c r="D162" i="2"/>
  <c r="B163" i="2"/>
  <c r="C163" i="2"/>
  <c r="D163" i="2"/>
  <c r="B164" i="2"/>
  <c r="C164" i="2"/>
  <c r="D164" i="2"/>
  <c r="B165" i="2"/>
  <c r="C165" i="2"/>
  <c r="D165" i="2"/>
  <c r="B166" i="2"/>
  <c r="C166" i="2"/>
  <c r="D166" i="2"/>
  <c r="B167" i="2"/>
  <c r="C167" i="2"/>
  <c r="D167" i="2"/>
  <c r="B168" i="2"/>
  <c r="C168" i="2"/>
  <c r="D168" i="2"/>
  <c r="B169" i="2"/>
  <c r="C169" i="2"/>
  <c r="D169" i="2"/>
  <c r="B170" i="2"/>
  <c r="C170" i="2"/>
  <c r="D170" i="2"/>
  <c r="B171" i="2"/>
  <c r="C171" i="2"/>
  <c r="D171" i="2"/>
  <c r="B172" i="2"/>
  <c r="C172" i="2"/>
  <c r="D172" i="2"/>
  <c r="B173" i="2"/>
  <c r="C173" i="2"/>
  <c r="D173" i="2"/>
  <c r="B174" i="2"/>
  <c r="C174" i="2"/>
  <c r="D174" i="2"/>
  <c r="B175" i="2"/>
  <c r="C175" i="2"/>
  <c r="D175" i="2"/>
  <c r="B176" i="2"/>
  <c r="C176" i="2"/>
  <c r="D176" i="2"/>
  <c r="B177" i="2"/>
  <c r="C177" i="2"/>
  <c r="D177" i="2"/>
  <c r="B178" i="2"/>
  <c r="C178" i="2"/>
  <c r="D178" i="2"/>
  <c r="B179" i="2"/>
  <c r="C179" i="2"/>
  <c r="D179" i="2"/>
  <c r="B180" i="2"/>
  <c r="C180" i="2"/>
  <c r="D180" i="2"/>
  <c r="B181" i="2"/>
  <c r="C181" i="2"/>
  <c r="D181" i="2"/>
  <c r="B182" i="2"/>
  <c r="C182" i="2"/>
  <c r="D182" i="2"/>
  <c r="B183" i="2"/>
  <c r="C183" i="2"/>
  <c r="D183" i="2"/>
  <c r="B184" i="2"/>
  <c r="C184" i="2"/>
  <c r="D184" i="2"/>
  <c r="B185" i="2"/>
  <c r="C185" i="2"/>
  <c r="D185" i="2"/>
  <c r="B186" i="2"/>
  <c r="C186" i="2"/>
  <c r="D186" i="2"/>
  <c r="B187" i="2"/>
  <c r="C187" i="2"/>
  <c r="D187" i="2"/>
  <c r="B188" i="2"/>
  <c r="C188" i="2"/>
  <c r="D188" i="2"/>
  <c r="B189" i="2"/>
  <c r="C189" i="2"/>
  <c r="D189" i="2"/>
  <c r="B190" i="2"/>
  <c r="C190" i="2"/>
  <c r="D190" i="2"/>
  <c r="B191" i="2"/>
  <c r="C191" i="2"/>
  <c r="D191" i="2"/>
  <c r="B192" i="2"/>
  <c r="C192" i="2"/>
  <c r="D192" i="2"/>
  <c r="B193" i="2"/>
  <c r="C193" i="2"/>
  <c r="D193" i="2"/>
  <c r="B194" i="2"/>
  <c r="C194" i="2"/>
  <c r="D194" i="2"/>
  <c r="B195" i="2"/>
  <c r="C195" i="2"/>
  <c r="D195" i="2"/>
  <c r="B196" i="2"/>
  <c r="C196" i="2"/>
  <c r="D196" i="2"/>
  <c r="B197" i="2"/>
  <c r="C197" i="2"/>
  <c r="D197" i="2"/>
  <c r="B198" i="2"/>
  <c r="C198" i="2"/>
  <c r="D198" i="2"/>
  <c r="B199" i="2"/>
  <c r="C199" i="2"/>
  <c r="D199" i="2"/>
  <c r="B200" i="2"/>
  <c r="C200" i="2"/>
  <c r="D200" i="2"/>
  <c r="B201" i="2"/>
  <c r="C201" i="2"/>
  <c r="D201" i="2"/>
  <c r="B202" i="2"/>
  <c r="C202" i="2"/>
  <c r="D202" i="2"/>
  <c r="B203" i="2"/>
  <c r="C203" i="2"/>
  <c r="D203" i="2"/>
  <c r="B204" i="2"/>
  <c r="C204" i="2"/>
  <c r="D204" i="2"/>
  <c r="B205" i="2"/>
  <c r="C205" i="2"/>
  <c r="D205" i="2"/>
  <c r="B206" i="2"/>
  <c r="C206" i="2"/>
  <c r="D206" i="2"/>
  <c r="B207" i="2"/>
  <c r="C207" i="2"/>
  <c r="D207" i="2"/>
  <c r="B208" i="2"/>
  <c r="C208" i="2"/>
  <c r="D208" i="2"/>
  <c r="B209" i="2"/>
  <c r="C209" i="2"/>
  <c r="D209" i="2"/>
  <c r="B210" i="2"/>
  <c r="C210" i="2"/>
  <c r="D210" i="2"/>
  <c r="B211" i="2"/>
  <c r="C211" i="2"/>
  <c r="D211" i="2"/>
  <c r="B212" i="2"/>
  <c r="C212" i="2"/>
  <c r="D212" i="2"/>
  <c r="B213" i="2"/>
  <c r="C213" i="2"/>
  <c r="D213" i="2"/>
  <c r="B214" i="2"/>
  <c r="C214" i="2"/>
  <c r="D214" i="2"/>
  <c r="B215" i="2"/>
  <c r="C215" i="2"/>
  <c r="D215" i="2"/>
  <c r="B216" i="2"/>
  <c r="C216" i="2"/>
  <c r="D216" i="2"/>
  <c r="B217" i="2"/>
  <c r="C217" i="2"/>
  <c r="D217" i="2"/>
  <c r="B218" i="2"/>
  <c r="C218" i="2"/>
  <c r="D218" i="2"/>
  <c r="B219" i="2"/>
  <c r="C219" i="2"/>
  <c r="D219" i="2"/>
  <c r="B220" i="2"/>
  <c r="C220" i="2"/>
  <c r="D220" i="2"/>
  <c r="B221" i="2"/>
  <c r="C221" i="2"/>
  <c r="D221" i="2"/>
  <c r="B222" i="2"/>
  <c r="C222" i="2"/>
  <c r="D222" i="2"/>
  <c r="B223" i="2"/>
  <c r="C223" i="2"/>
  <c r="D223" i="2"/>
  <c r="B224" i="2"/>
  <c r="C224" i="2"/>
  <c r="D224" i="2"/>
  <c r="B225" i="2"/>
  <c r="C225" i="2"/>
  <c r="D225" i="2"/>
  <c r="B226" i="2"/>
  <c r="C226" i="2"/>
  <c r="D226" i="2"/>
  <c r="B227" i="2"/>
  <c r="C227" i="2"/>
  <c r="D227" i="2"/>
  <c r="B228" i="2"/>
  <c r="C228" i="2"/>
  <c r="D228" i="2"/>
  <c r="B229" i="2"/>
  <c r="C229" i="2"/>
  <c r="D229" i="2"/>
  <c r="B230" i="2"/>
  <c r="C230" i="2"/>
  <c r="D230" i="2"/>
  <c r="B231" i="2"/>
  <c r="C231" i="2"/>
  <c r="D231" i="2"/>
  <c r="B232" i="2"/>
  <c r="C232" i="2"/>
  <c r="D232" i="2"/>
  <c r="B233" i="2"/>
  <c r="C233" i="2"/>
  <c r="D233" i="2"/>
  <c r="B234" i="2"/>
  <c r="C234" i="2"/>
  <c r="D234" i="2"/>
  <c r="B235" i="2"/>
  <c r="C235" i="2"/>
  <c r="D235" i="2"/>
  <c r="B236" i="2"/>
  <c r="C236" i="2"/>
  <c r="D236" i="2"/>
  <c r="B237" i="2"/>
  <c r="C237" i="2"/>
  <c r="D237" i="2"/>
  <c r="B238" i="2"/>
  <c r="C238" i="2"/>
  <c r="D238" i="2"/>
  <c r="B239" i="2"/>
  <c r="C239" i="2"/>
  <c r="D239" i="2"/>
  <c r="B240" i="2"/>
  <c r="C240" i="2"/>
  <c r="D240" i="2"/>
  <c r="B241" i="2"/>
  <c r="C241" i="2"/>
  <c r="D241" i="2"/>
  <c r="B242" i="2"/>
  <c r="C242" i="2"/>
  <c r="D242" i="2"/>
  <c r="B243" i="2"/>
  <c r="C243" i="2"/>
  <c r="D243" i="2"/>
  <c r="B244" i="2"/>
  <c r="C244" i="2"/>
  <c r="D244" i="2"/>
  <c r="B245" i="2"/>
  <c r="C245" i="2"/>
  <c r="D245" i="2"/>
  <c r="B246" i="2"/>
  <c r="C246" i="2"/>
  <c r="D246" i="2"/>
  <c r="B247" i="2"/>
  <c r="C247" i="2"/>
  <c r="D247" i="2"/>
  <c r="B248" i="2"/>
  <c r="C248" i="2"/>
  <c r="D248" i="2"/>
  <c r="B249" i="2"/>
  <c r="C249" i="2"/>
  <c r="D249" i="2"/>
  <c r="B250" i="2"/>
  <c r="C250" i="2"/>
  <c r="D250" i="2"/>
  <c r="B251" i="2"/>
  <c r="C251" i="2"/>
  <c r="D251" i="2"/>
  <c r="B252" i="2"/>
  <c r="C252" i="2"/>
  <c r="D252" i="2"/>
  <c r="B253" i="2"/>
  <c r="C253" i="2"/>
  <c r="D253" i="2"/>
  <c r="B254" i="2"/>
  <c r="C254" i="2"/>
  <c r="D254" i="2"/>
  <c r="B255" i="2"/>
  <c r="C255" i="2"/>
  <c r="D255" i="2"/>
  <c r="B256" i="2"/>
  <c r="C256" i="2"/>
  <c r="D256" i="2"/>
  <c r="B257" i="2"/>
  <c r="C257" i="2"/>
  <c r="D257" i="2"/>
  <c r="B258" i="2"/>
  <c r="C258" i="2"/>
  <c r="D258" i="2"/>
  <c r="B259" i="2"/>
  <c r="C259" i="2"/>
  <c r="D259" i="2"/>
  <c r="B260" i="2"/>
  <c r="C260" i="2"/>
  <c r="D260" i="2"/>
  <c r="B261" i="2"/>
  <c r="C261" i="2"/>
  <c r="D261" i="2"/>
  <c r="B262" i="2"/>
  <c r="C262" i="2"/>
  <c r="D262" i="2"/>
  <c r="B263" i="2"/>
  <c r="C263" i="2"/>
  <c r="D263" i="2"/>
  <c r="B264" i="2"/>
  <c r="C264" i="2"/>
  <c r="D264" i="2"/>
  <c r="B265" i="2"/>
  <c r="C265" i="2"/>
  <c r="D265" i="2"/>
  <c r="B266" i="2"/>
  <c r="C266" i="2"/>
  <c r="D266" i="2"/>
  <c r="B267" i="2"/>
  <c r="C267" i="2"/>
  <c r="D267" i="2"/>
  <c r="B268" i="2"/>
  <c r="C268" i="2"/>
  <c r="D268" i="2"/>
  <c r="B269" i="2"/>
  <c r="C269" i="2"/>
  <c r="D269" i="2"/>
  <c r="B270" i="2"/>
  <c r="C270" i="2"/>
  <c r="D270" i="2"/>
  <c r="B271" i="2"/>
  <c r="C271" i="2"/>
  <c r="D271" i="2"/>
  <c r="B272" i="2"/>
  <c r="C272" i="2"/>
  <c r="D272" i="2"/>
  <c r="B273" i="2"/>
  <c r="C273" i="2"/>
  <c r="D273" i="2"/>
  <c r="B274" i="2"/>
  <c r="C274" i="2"/>
  <c r="D274" i="2"/>
  <c r="B275" i="2"/>
  <c r="C275" i="2"/>
  <c r="D275" i="2"/>
  <c r="B276" i="2"/>
  <c r="C276" i="2"/>
  <c r="D276" i="2"/>
  <c r="B277" i="2"/>
  <c r="C277" i="2"/>
  <c r="D277" i="2"/>
  <c r="B278" i="2"/>
  <c r="C278" i="2"/>
  <c r="D278" i="2"/>
  <c r="B279" i="2"/>
  <c r="C279" i="2"/>
  <c r="D279" i="2"/>
  <c r="B280" i="2"/>
  <c r="C280" i="2"/>
  <c r="D280" i="2"/>
  <c r="B281" i="2"/>
  <c r="C281" i="2"/>
  <c r="D281" i="2"/>
  <c r="B282" i="2"/>
  <c r="C282" i="2"/>
  <c r="D282" i="2"/>
  <c r="B283" i="2"/>
  <c r="C283" i="2"/>
  <c r="D283" i="2"/>
  <c r="B284" i="2"/>
  <c r="C284" i="2"/>
  <c r="D284" i="2"/>
  <c r="B285" i="2"/>
  <c r="C285" i="2"/>
  <c r="D285" i="2"/>
  <c r="B286" i="2"/>
  <c r="C286" i="2"/>
  <c r="D286" i="2"/>
  <c r="B287" i="2"/>
  <c r="C287" i="2"/>
  <c r="D287" i="2"/>
  <c r="B288" i="2"/>
  <c r="C288" i="2"/>
  <c r="D288" i="2"/>
  <c r="B289" i="2"/>
  <c r="C289" i="2"/>
  <c r="D289" i="2"/>
  <c r="B290" i="2"/>
  <c r="C290" i="2"/>
  <c r="D290" i="2"/>
  <c r="B291" i="2"/>
  <c r="C291" i="2"/>
  <c r="D291" i="2"/>
  <c r="B292" i="2"/>
  <c r="C292" i="2"/>
  <c r="D292" i="2"/>
  <c r="B293" i="2"/>
  <c r="C293" i="2"/>
  <c r="D293" i="2"/>
  <c r="B294" i="2"/>
  <c r="C294" i="2"/>
  <c r="D294" i="2"/>
  <c r="B295" i="2"/>
  <c r="C295" i="2"/>
  <c r="D295" i="2"/>
  <c r="B296" i="2"/>
  <c r="C296" i="2"/>
  <c r="D296" i="2"/>
  <c r="B297" i="2"/>
  <c r="C297" i="2"/>
  <c r="D297" i="2"/>
  <c r="B298" i="2"/>
  <c r="C298" i="2"/>
  <c r="D298" i="2"/>
  <c r="B299" i="2"/>
  <c r="C299" i="2"/>
  <c r="D299" i="2"/>
  <c r="B300" i="2"/>
  <c r="C300" i="2"/>
  <c r="D300" i="2"/>
  <c r="B301" i="2"/>
  <c r="C301" i="2"/>
  <c r="D301" i="2"/>
  <c r="B302" i="2"/>
  <c r="C302" i="2"/>
  <c r="D302" i="2"/>
  <c r="B303" i="2"/>
  <c r="C303" i="2"/>
  <c r="D303" i="2"/>
  <c r="B304" i="2"/>
  <c r="C304" i="2"/>
  <c r="D304" i="2"/>
  <c r="B305" i="2"/>
  <c r="C305" i="2"/>
  <c r="D305" i="2"/>
  <c r="B306" i="2"/>
  <c r="C306" i="2"/>
  <c r="D306" i="2"/>
  <c r="B307" i="2"/>
  <c r="C307" i="2"/>
  <c r="D307" i="2"/>
  <c r="B308" i="2"/>
  <c r="C308" i="2"/>
  <c r="D308" i="2"/>
  <c r="B309" i="2"/>
  <c r="C309" i="2"/>
  <c r="D309" i="2"/>
  <c r="B310" i="2"/>
  <c r="C310" i="2"/>
  <c r="D310" i="2"/>
  <c r="B311" i="2"/>
  <c r="C311" i="2"/>
  <c r="D311" i="2"/>
  <c r="B312" i="2"/>
  <c r="C312" i="2"/>
  <c r="D312" i="2"/>
  <c r="B313" i="2"/>
  <c r="C313" i="2"/>
  <c r="D313" i="2"/>
  <c r="B314" i="2"/>
  <c r="C314" i="2"/>
  <c r="D314" i="2"/>
  <c r="B315" i="2"/>
  <c r="C315" i="2"/>
  <c r="D315" i="2"/>
  <c r="B316" i="2"/>
  <c r="C316" i="2"/>
  <c r="D316" i="2"/>
  <c r="B317" i="2"/>
  <c r="C317" i="2"/>
  <c r="D317" i="2"/>
  <c r="B318" i="2"/>
  <c r="C318" i="2"/>
  <c r="D318" i="2"/>
  <c r="B319" i="2"/>
  <c r="C319" i="2"/>
  <c r="D319" i="2"/>
  <c r="B320" i="2"/>
  <c r="C320" i="2"/>
  <c r="D320" i="2"/>
  <c r="B321" i="2"/>
  <c r="C321" i="2"/>
  <c r="D321" i="2"/>
  <c r="B322" i="2"/>
  <c r="C322" i="2"/>
  <c r="D322" i="2"/>
  <c r="B323" i="2"/>
  <c r="C323" i="2"/>
  <c r="D323" i="2"/>
  <c r="B324" i="2"/>
  <c r="C324" i="2"/>
  <c r="D324" i="2"/>
  <c r="B325" i="2"/>
  <c r="C325" i="2"/>
  <c r="D325" i="2"/>
  <c r="B326" i="2"/>
  <c r="C326" i="2"/>
  <c r="D326" i="2"/>
  <c r="B327" i="2"/>
  <c r="C327" i="2"/>
  <c r="D327" i="2"/>
  <c r="B328" i="2"/>
  <c r="C328" i="2"/>
  <c r="D328" i="2"/>
  <c r="B329" i="2"/>
  <c r="C329" i="2"/>
  <c r="D329" i="2"/>
  <c r="B330" i="2"/>
  <c r="C330" i="2"/>
  <c r="D330" i="2"/>
  <c r="B331" i="2"/>
  <c r="C331" i="2"/>
  <c r="D331" i="2"/>
  <c r="B332" i="2"/>
  <c r="C332" i="2"/>
  <c r="D332" i="2"/>
  <c r="B333" i="2"/>
  <c r="C333" i="2"/>
  <c r="D333" i="2"/>
  <c r="B334" i="2"/>
  <c r="C334" i="2"/>
  <c r="D334" i="2"/>
  <c r="B335" i="2"/>
  <c r="C335" i="2"/>
  <c r="D335" i="2"/>
  <c r="B336" i="2"/>
  <c r="C336" i="2"/>
  <c r="D336" i="2"/>
  <c r="B337" i="2"/>
  <c r="C337" i="2"/>
  <c r="D337" i="2"/>
  <c r="B338" i="2"/>
  <c r="C338" i="2"/>
  <c r="D338" i="2"/>
  <c r="B339" i="2"/>
  <c r="C339" i="2"/>
  <c r="D339" i="2"/>
  <c r="B340" i="2"/>
  <c r="C340" i="2"/>
  <c r="D340" i="2"/>
  <c r="B341" i="2"/>
  <c r="C341" i="2"/>
  <c r="D341" i="2"/>
  <c r="B342" i="2"/>
  <c r="C342" i="2"/>
  <c r="D342" i="2"/>
  <c r="B343" i="2"/>
  <c r="C343" i="2"/>
  <c r="D343" i="2"/>
  <c r="B344" i="2"/>
  <c r="C344" i="2"/>
  <c r="D344" i="2"/>
  <c r="B345" i="2"/>
  <c r="C345" i="2"/>
  <c r="D345" i="2"/>
  <c r="B346" i="2"/>
  <c r="C346" i="2"/>
  <c r="D346" i="2"/>
  <c r="B347" i="2"/>
  <c r="C347" i="2"/>
  <c r="D347" i="2"/>
  <c r="B348" i="2"/>
  <c r="C348" i="2"/>
  <c r="D348" i="2"/>
  <c r="B349" i="2"/>
  <c r="C349" i="2"/>
  <c r="D349" i="2"/>
  <c r="B350" i="2"/>
  <c r="C350" i="2"/>
  <c r="D350" i="2"/>
  <c r="B351" i="2"/>
  <c r="C351" i="2"/>
  <c r="D351" i="2"/>
  <c r="B352" i="2"/>
  <c r="C352" i="2"/>
  <c r="D352" i="2"/>
  <c r="B353" i="2"/>
  <c r="C353" i="2"/>
  <c r="D353" i="2"/>
  <c r="B354" i="2"/>
  <c r="C354" i="2"/>
  <c r="D354" i="2"/>
  <c r="B355" i="2"/>
  <c r="C355" i="2"/>
  <c r="D355" i="2"/>
  <c r="B356" i="2"/>
  <c r="C356" i="2"/>
  <c r="D356" i="2"/>
  <c r="B357" i="2"/>
  <c r="C357" i="2"/>
  <c r="D357" i="2"/>
  <c r="B358" i="2"/>
  <c r="C358" i="2"/>
  <c r="D358" i="2"/>
  <c r="B359" i="2"/>
  <c r="C359" i="2"/>
  <c r="D359" i="2"/>
  <c r="B360" i="2"/>
  <c r="C360" i="2"/>
  <c r="D360" i="2"/>
  <c r="B361" i="2"/>
  <c r="C361" i="2"/>
  <c r="D361" i="2"/>
  <c r="B362" i="2"/>
  <c r="C362" i="2"/>
  <c r="D362" i="2"/>
  <c r="B363" i="2"/>
  <c r="C363" i="2"/>
  <c r="D363" i="2"/>
  <c r="B364" i="2"/>
  <c r="C364" i="2"/>
  <c r="D364" i="2"/>
  <c r="B365" i="2"/>
  <c r="C365" i="2"/>
  <c r="D365" i="2"/>
  <c r="B366" i="2"/>
  <c r="C366" i="2"/>
  <c r="D366" i="2"/>
  <c r="B367" i="2"/>
  <c r="C367" i="2"/>
  <c r="D367" i="2"/>
  <c r="B368" i="2"/>
  <c r="C368" i="2"/>
  <c r="D368" i="2"/>
  <c r="B369" i="2"/>
  <c r="C369" i="2"/>
  <c r="D369" i="2"/>
  <c r="B370" i="2"/>
  <c r="C370" i="2"/>
  <c r="D370" i="2"/>
  <c r="B371" i="2"/>
  <c r="C371" i="2"/>
  <c r="D371" i="2"/>
  <c r="B372" i="2"/>
  <c r="C372" i="2"/>
  <c r="D372" i="2"/>
  <c r="B373" i="2"/>
  <c r="C373" i="2"/>
  <c r="D373" i="2"/>
  <c r="B374" i="2"/>
  <c r="C374" i="2"/>
  <c r="D374" i="2"/>
  <c r="B375" i="2"/>
  <c r="C375" i="2"/>
  <c r="D375" i="2"/>
  <c r="B376" i="2"/>
  <c r="C376" i="2"/>
  <c r="D376" i="2"/>
  <c r="B377" i="2"/>
  <c r="C377" i="2"/>
  <c r="D377" i="2"/>
  <c r="B378" i="2"/>
  <c r="C378" i="2"/>
  <c r="D378" i="2"/>
  <c r="B379" i="2"/>
  <c r="C379" i="2"/>
  <c r="D379" i="2"/>
  <c r="B380" i="2"/>
  <c r="C380" i="2"/>
  <c r="D380" i="2"/>
  <c r="B381" i="2"/>
  <c r="C381" i="2"/>
  <c r="D381" i="2"/>
  <c r="B382" i="2"/>
  <c r="C382" i="2"/>
  <c r="D382" i="2"/>
  <c r="B383" i="2"/>
  <c r="C383" i="2"/>
  <c r="D383" i="2"/>
  <c r="B384" i="2"/>
  <c r="C384" i="2"/>
  <c r="D384" i="2"/>
  <c r="B385" i="2"/>
  <c r="C385" i="2"/>
  <c r="D385" i="2"/>
  <c r="B386" i="2"/>
  <c r="C386" i="2"/>
  <c r="D386" i="2"/>
  <c r="B387" i="2"/>
  <c r="C387" i="2"/>
  <c r="D387" i="2"/>
  <c r="B388" i="2"/>
  <c r="C388" i="2"/>
  <c r="D388" i="2"/>
  <c r="B389" i="2"/>
  <c r="C389" i="2"/>
  <c r="D389" i="2"/>
  <c r="B390" i="2"/>
  <c r="C390" i="2"/>
  <c r="D390" i="2"/>
  <c r="B391" i="2"/>
  <c r="C391" i="2"/>
  <c r="D391" i="2"/>
  <c r="B392" i="2"/>
  <c r="C392" i="2"/>
  <c r="D392" i="2"/>
  <c r="B393" i="2"/>
  <c r="C393" i="2"/>
  <c r="D393" i="2"/>
  <c r="B394" i="2"/>
  <c r="C394" i="2"/>
  <c r="D394" i="2"/>
  <c r="B395" i="2"/>
  <c r="C395" i="2"/>
  <c r="D395" i="2"/>
  <c r="B396" i="2"/>
  <c r="C396" i="2"/>
  <c r="D396" i="2"/>
  <c r="B397" i="2"/>
  <c r="C397" i="2"/>
  <c r="D397" i="2"/>
  <c r="B398" i="2"/>
  <c r="C398" i="2"/>
  <c r="D398" i="2"/>
  <c r="B399" i="2"/>
  <c r="C399" i="2"/>
  <c r="D399" i="2"/>
  <c r="B400" i="2"/>
  <c r="C400" i="2"/>
  <c r="D400" i="2"/>
  <c r="B401" i="2"/>
  <c r="C401" i="2"/>
  <c r="D401" i="2"/>
  <c r="B402" i="2"/>
  <c r="C402" i="2"/>
  <c r="D402" i="2"/>
  <c r="B403" i="2"/>
  <c r="C403" i="2"/>
  <c r="D403" i="2"/>
  <c r="B404" i="2"/>
  <c r="C404" i="2"/>
  <c r="D404" i="2"/>
  <c r="B405" i="2"/>
  <c r="C405" i="2"/>
  <c r="D405" i="2"/>
  <c r="B406" i="2"/>
  <c r="C406" i="2"/>
  <c r="D406" i="2"/>
  <c r="B407" i="2"/>
  <c r="C407" i="2"/>
  <c r="D407" i="2"/>
  <c r="B408" i="2"/>
  <c r="C408" i="2"/>
  <c r="D408" i="2"/>
  <c r="B409" i="2"/>
  <c r="C409" i="2"/>
  <c r="D409" i="2"/>
  <c r="B410" i="2"/>
  <c r="C410" i="2"/>
  <c r="D410" i="2"/>
  <c r="B411" i="2"/>
  <c r="C411" i="2"/>
  <c r="D411" i="2"/>
  <c r="B412" i="2"/>
  <c r="C412" i="2"/>
  <c r="D412" i="2"/>
  <c r="B413" i="2"/>
  <c r="C413" i="2"/>
  <c r="D413" i="2"/>
  <c r="B414" i="2"/>
  <c r="C414" i="2"/>
  <c r="D414" i="2"/>
  <c r="B415" i="2"/>
  <c r="C415" i="2"/>
  <c r="D415" i="2"/>
  <c r="B416" i="2"/>
  <c r="C416" i="2"/>
  <c r="D416" i="2"/>
  <c r="B417" i="2"/>
  <c r="C417" i="2"/>
  <c r="D417" i="2"/>
  <c r="B418" i="2"/>
  <c r="C418" i="2"/>
  <c r="D418" i="2"/>
  <c r="B419" i="2"/>
  <c r="C419" i="2"/>
  <c r="D419" i="2"/>
  <c r="B420" i="2"/>
  <c r="C420" i="2"/>
  <c r="D420" i="2"/>
  <c r="B421" i="2"/>
  <c r="C421" i="2"/>
  <c r="D421" i="2"/>
  <c r="B422" i="2"/>
  <c r="C422" i="2"/>
  <c r="D422" i="2"/>
  <c r="B423" i="2"/>
  <c r="C423" i="2"/>
  <c r="D423" i="2"/>
  <c r="B424" i="2"/>
  <c r="C424" i="2"/>
  <c r="D424" i="2"/>
  <c r="B425" i="2"/>
  <c r="C425" i="2"/>
  <c r="D425" i="2"/>
  <c r="B426" i="2"/>
  <c r="C426" i="2"/>
  <c r="D426" i="2"/>
  <c r="B427" i="2"/>
  <c r="C427" i="2"/>
  <c r="D427" i="2"/>
  <c r="B428" i="2"/>
  <c r="C428" i="2"/>
  <c r="D428" i="2"/>
  <c r="B429" i="2"/>
  <c r="C429" i="2"/>
  <c r="D429" i="2"/>
  <c r="B430" i="2"/>
  <c r="C430" i="2"/>
  <c r="D430" i="2"/>
  <c r="B431" i="2"/>
  <c r="C431" i="2"/>
  <c r="D431" i="2"/>
  <c r="B432" i="2"/>
  <c r="C432" i="2"/>
  <c r="D432" i="2"/>
  <c r="B433" i="2"/>
  <c r="C433" i="2"/>
  <c r="D433" i="2"/>
  <c r="B434" i="2"/>
  <c r="C434" i="2"/>
  <c r="D434" i="2"/>
  <c r="B435" i="2"/>
  <c r="C435" i="2"/>
  <c r="D435" i="2"/>
  <c r="B436" i="2"/>
  <c r="C436" i="2"/>
  <c r="D436" i="2"/>
  <c r="B437" i="2"/>
  <c r="C437" i="2"/>
  <c r="D437" i="2"/>
  <c r="B438" i="2"/>
  <c r="C438" i="2"/>
  <c r="D438" i="2"/>
  <c r="B439" i="2"/>
  <c r="C439" i="2"/>
  <c r="D439" i="2"/>
  <c r="B440" i="2"/>
  <c r="C440" i="2"/>
  <c r="D440" i="2"/>
  <c r="B441" i="2"/>
  <c r="C441" i="2"/>
  <c r="D441" i="2"/>
  <c r="B442" i="2"/>
  <c r="C442" i="2"/>
  <c r="D442" i="2"/>
  <c r="B443" i="2"/>
  <c r="C443" i="2"/>
  <c r="D443" i="2"/>
  <c r="B444" i="2"/>
  <c r="C444" i="2"/>
  <c r="D444" i="2"/>
  <c r="B445" i="2"/>
  <c r="C445" i="2"/>
  <c r="D445" i="2"/>
  <c r="B446" i="2"/>
  <c r="C446" i="2"/>
  <c r="D446" i="2"/>
  <c r="B447" i="2"/>
  <c r="C447" i="2"/>
  <c r="D447" i="2"/>
  <c r="B448" i="2"/>
  <c r="C448" i="2"/>
  <c r="D448" i="2"/>
  <c r="B449" i="2"/>
  <c r="C449" i="2"/>
  <c r="D449" i="2"/>
  <c r="B450" i="2"/>
  <c r="C450" i="2"/>
  <c r="D450" i="2"/>
  <c r="B451" i="2"/>
  <c r="C451" i="2"/>
  <c r="D451" i="2"/>
  <c r="B452" i="2"/>
  <c r="C452" i="2"/>
  <c r="D452" i="2"/>
  <c r="B453" i="2"/>
  <c r="C453" i="2"/>
  <c r="D453" i="2"/>
  <c r="B454" i="2"/>
  <c r="C454" i="2"/>
  <c r="D454" i="2"/>
  <c r="B455" i="2"/>
  <c r="C455" i="2"/>
  <c r="D455" i="2"/>
  <c r="B456" i="2"/>
  <c r="C456" i="2"/>
  <c r="D456" i="2"/>
  <c r="B457" i="2"/>
  <c r="C457" i="2"/>
  <c r="D457" i="2"/>
  <c r="B458" i="2"/>
  <c r="C458" i="2"/>
  <c r="D458" i="2"/>
  <c r="B459" i="2"/>
  <c r="C459" i="2"/>
  <c r="D459" i="2"/>
  <c r="B460" i="2"/>
  <c r="C460" i="2"/>
  <c r="D460" i="2"/>
  <c r="B461" i="2"/>
  <c r="C461" i="2"/>
  <c r="D461" i="2"/>
  <c r="B462" i="2"/>
  <c r="C462" i="2"/>
  <c r="D462" i="2"/>
  <c r="B463" i="2"/>
  <c r="C463" i="2"/>
  <c r="D463" i="2"/>
  <c r="B464" i="2"/>
  <c r="C464" i="2"/>
  <c r="D464" i="2"/>
  <c r="B465" i="2"/>
  <c r="C465" i="2"/>
  <c r="D465" i="2"/>
  <c r="B466" i="2"/>
  <c r="C466" i="2"/>
  <c r="D466" i="2"/>
  <c r="B467" i="2"/>
  <c r="C467" i="2"/>
  <c r="D467" i="2"/>
  <c r="B468" i="2"/>
  <c r="C468" i="2"/>
  <c r="D468" i="2"/>
  <c r="B469" i="2"/>
  <c r="C469" i="2"/>
  <c r="D469" i="2"/>
  <c r="B470" i="2"/>
  <c r="C470" i="2"/>
  <c r="D470" i="2"/>
  <c r="B471" i="2"/>
  <c r="C471" i="2"/>
  <c r="D471" i="2"/>
  <c r="B472" i="2"/>
  <c r="C472" i="2"/>
  <c r="D472" i="2"/>
  <c r="B473" i="2"/>
  <c r="C473" i="2"/>
  <c r="D473" i="2"/>
  <c r="B474" i="2"/>
  <c r="C474" i="2"/>
  <c r="D474" i="2"/>
  <c r="B475" i="2"/>
  <c r="C475" i="2"/>
  <c r="D475" i="2"/>
  <c r="B476" i="2"/>
  <c r="C476" i="2"/>
  <c r="D476" i="2"/>
  <c r="B477" i="2"/>
  <c r="C477" i="2"/>
  <c r="D477" i="2"/>
  <c r="B478" i="2"/>
  <c r="C478" i="2"/>
  <c r="D478" i="2"/>
  <c r="B479" i="2"/>
  <c r="C479" i="2"/>
  <c r="D479" i="2"/>
  <c r="B480" i="2"/>
  <c r="C480" i="2"/>
  <c r="D480" i="2"/>
  <c r="B481" i="2"/>
  <c r="C481" i="2"/>
  <c r="D481" i="2"/>
  <c r="B482" i="2"/>
  <c r="C482" i="2"/>
  <c r="D482" i="2"/>
  <c r="B483" i="2"/>
  <c r="C483" i="2"/>
  <c r="D483" i="2"/>
  <c r="B484" i="2"/>
  <c r="C484" i="2"/>
  <c r="D484" i="2"/>
  <c r="B485" i="2"/>
  <c r="C485" i="2"/>
  <c r="D485" i="2"/>
  <c r="B486" i="2"/>
  <c r="C486" i="2"/>
  <c r="D486" i="2"/>
  <c r="B487" i="2"/>
  <c r="C487" i="2"/>
  <c r="D487" i="2"/>
  <c r="B488" i="2"/>
  <c r="C488" i="2"/>
  <c r="D488" i="2"/>
  <c r="B489" i="2"/>
  <c r="C489" i="2"/>
  <c r="D489" i="2"/>
  <c r="B490" i="2"/>
  <c r="C490" i="2"/>
  <c r="D490" i="2"/>
  <c r="B491" i="2"/>
  <c r="C491" i="2"/>
  <c r="D491" i="2"/>
  <c r="B492" i="2"/>
  <c r="C492" i="2"/>
  <c r="D492" i="2"/>
  <c r="B493" i="2"/>
  <c r="C493" i="2"/>
  <c r="D493" i="2"/>
  <c r="B494" i="2"/>
  <c r="C494" i="2"/>
  <c r="D494" i="2"/>
  <c r="B495" i="2"/>
  <c r="C495" i="2"/>
  <c r="D495" i="2"/>
  <c r="B496" i="2"/>
  <c r="C496" i="2"/>
  <c r="D496" i="2"/>
  <c r="B497" i="2"/>
  <c r="C497" i="2"/>
  <c r="D497" i="2"/>
  <c r="B498" i="2"/>
  <c r="C498" i="2"/>
  <c r="D498" i="2"/>
  <c r="B499" i="2"/>
  <c r="C499" i="2"/>
  <c r="D499" i="2"/>
  <c r="B500" i="2"/>
  <c r="C500" i="2"/>
  <c r="D500" i="2"/>
  <c r="B501" i="2"/>
  <c r="C501" i="2"/>
  <c r="D501" i="2"/>
  <c r="B502" i="2"/>
  <c r="C502" i="2"/>
  <c r="D502" i="2"/>
  <c r="B503" i="2"/>
  <c r="C503" i="2"/>
  <c r="D503" i="2"/>
  <c r="L3" i="1" l="1"/>
  <c r="L2" i="1" l="1"/>
  <c r="L4" i="1"/>
  <c r="M1" i="1" l="1"/>
  <c r="M3" i="1" s="1"/>
  <c r="L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Wesley Braga Teodoro</author>
    <author>David Braga</author>
  </authors>
  <commentList>
    <comment ref="D6" authorId="0" shapeId="0" xr:uid="{971BB88D-D5B5-41C5-9605-035474212D20}">
      <text>
        <r>
          <rPr>
            <sz val="9"/>
            <color indexed="81"/>
            <rFont val="Segoe UI"/>
            <family val="2"/>
          </rPr>
          <t>Desconto: 26/02/2021</t>
        </r>
      </text>
    </comment>
    <comment ref="F6" authorId="0" shapeId="0" xr:uid="{0336B2BF-BACD-4C1A-B4DF-4E37C3DCDFEB}">
      <text>
        <r>
          <rPr>
            <sz val="9"/>
            <color indexed="81"/>
            <rFont val="Tahoma"/>
            <family val="2"/>
          </rPr>
          <t>19/02/2022 - Concluído_x000D_
11/02/2022 - Aguardando PG_x000D_
09/02/2022 - Analisando_x000D_
02/02/2022 - Em análise</t>
        </r>
      </text>
    </comment>
    <comment ref="D7" authorId="0" shapeId="0" xr:uid="{8A814610-2A8B-4658-8E3C-5553965875BB}">
      <text>
        <r>
          <rPr>
            <sz val="9"/>
            <color indexed="81"/>
            <rFont val="Segoe UI"/>
            <family val="2"/>
          </rPr>
          <t>Desconto: 21/02/2021</t>
        </r>
      </text>
    </comment>
    <comment ref="F7" authorId="1" shapeId="0" xr:uid="{FE5DBEFF-10CE-49CF-B533-A36650D18B9A}">
      <text>
        <r>
          <rPr>
            <sz val="9"/>
            <color indexed="81"/>
            <rFont val="Tahoma"/>
            <family val="2"/>
          </rPr>
          <t>22/02/2022 - Certidão Automática_x000D_
22/02/2022 - Analisando_x000D_
21/02/2022 - Em análise_x000D_
18/02/2022 - Em análise</t>
        </r>
      </text>
    </comment>
    <comment ref="D8" authorId="0" shapeId="0" xr:uid="{BF957EEC-4ADD-47DB-ABD5-E06C664DE577}">
      <text>
        <r>
          <rPr>
            <sz val="9"/>
            <color indexed="81"/>
            <rFont val="Segoe UI"/>
            <family val="2"/>
          </rPr>
          <t>Desconto: 02/03/2022</t>
        </r>
      </text>
    </comment>
    <comment ref="F8" authorId="0" shapeId="0" xr:uid="{01FE4AB1-D6B4-42AA-94DB-11EDFE914600}">
      <text>
        <r>
          <rPr>
            <sz val="9"/>
            <color indexed="81"/>
            <rFont val="Tahoma"/>
            <family val="2"/>
          </rPr>
          <t>26/02/2022 - Concluído_x000D_
14/02/2022 - Aguardando PG_x000D_
11/02/2022 - Analisando_x000D_
02/02/2022 - Em análise</t>
        </r>
      </text>
    </comment>
    <comment ref="D9" authorId="0" shapeId="0" xr:uid="{555C808C-E198-49D9-BFC5-0437CCCA631E}">
      <text>
        <r>
          <rPr>
            <sz val="9"/>
            <color indexed="81"/>
            <rFont val="Segoe UI"/>
            <family val="2"/>
          </rPr>
          <t>Desconto: 18/01/2018</t>
        </r>
      </text>
    </comment>
    <comment ref="F9" authorId="0" shapeId="0" xr:uid="{7AFD965E-7291-426E-961B-50F9A2175071}">
      <text>
        <r>
          <rPr>
            <sz val="9"/>
            <color indexed="81"/>
            <rFont val="Tahoma"/>
            <family val="2"/>
          </rPr>
          <t>24/02/2022 - Concluído_x000D_
14/02/2022 - Aguardando PG_x000D_
10/02/2022 - Aguardando PG_x000D_
10/02/2022 - Analisando_x000D_
08/02/2022 - Pendente_x000D_
08/02/2022 - Analisando_x000D_
02/02/2022 - Em análise</t>
        </r>
      </text>
    </comment>
    <comment ref="D10" authorId="0" shapeId="0" xr:uid="{E5651CCB-2113-4D3A-9C6D-53DDC1991FEF}">
      <text>
        <r>
          <rPr>
            <sz val="9"/>
            <color indexed="81"/>
            <rFont val="Segoe UI"/>
            <family val="2"/>
          </rPr>
          <t>Desconto: 20/08/2021</t>
        </r>
      </text>
    </comment>
    <comment ref="F10" authorId="0" shapeId="0" xr:uid="{7DBB5646-676D-4112-B5BB-8354622384B8}">
      <text>
        <r>
          <rPr>
            <sz val="9"/>
            <color indexed="81"/>
            <rFont val="Tahoma"/>
            <family val="2"/>
          </rPr>
          <t>16/02/2022 - Concluído_x000D_
11/02/2022 - Aguardando PG_x000D_
02/02/2022 - Em análise</t>
        </r>
      </text>
    </comment>
    <comment ref="F11" authorId="1" shapeId="0" xr:uid="{05743453-8809-43FC-86C9-32B1DD30C8C6}">
      <text>
        <r>
          <rPr>
            <sz val="9"/>
            <color indexed="81"/>
            <rFont val="Tahoma"/>
            <family val="2"/>
          </rPr>
          <t>30/11/2021 - Aguardando PG</t>
        </r>
      </text>
    </comment>
    <comment ref="F12" authorId="1" shapeId="0" xr:uid="{A14C76E8-343A-4626-90CF-44CC73E0E137}">
      <text>
        <r>
          <rPr>
            <sz val="9"/>
            <color indexed="81"/>
            <rFont val="Tahoma"/>
            <family val="2"/>
          </rPr>
          <t>25/02/2022 - Concluído_x000D_
19/02/2022 - Aguardando PG_x000D_
16/02/2022 - Analisando_x000D_
08/02/2022 - Em análise</t>
        </r>
      </text>
    </comment>
    <comment ref="F13" authorId="1" shapeId="0" xr:uid="{CD182FCE-E626-4A00-8F0A-C5F4C2C7B59E}">
      <text>
        <r>
          <rPr>
            <sz val="9"/>
            <color indexed="81"/>
            <rFont val="Tahoma"/>
            <family val="2"/>
          </rPr>
          <t>30/11/2021 - Aguardando PG</t>
        </r>
      </text>
    </comment>
    <comment ref="D14" authorId="0" shapeId="0" xr:uid="{74CC1D30-A80B-4736-8065-DB8E3D169881}">
      <text>
        <r>
          <rPr>
            <sz val="9"/>
            <color indexed="81"/>
            <rFont val="Segoe UI"/>
            <family val="2"/>
          </rPr>
          <t>Desconto: 07/09/2018</t>
        </r>
      </text>
    </comment>
    <comment ref="F14" authorId="1" shapeId="0" xr:uid="{CBEBF03F-1518-44A4-8830-3D986FE0278F}">
      <text>
        <r>
          <rPr>
            <sz val="9"/>
            <color indexed="81"/>
            <rFont val="Tahoma"/>
            <family val="2"/>
          </rPr>
          <t>30/11/2021 - Aguardando PG</t>
        </r>
      </text>
    </comment>
    <comment ref="D15" authorId="0" shapeId="0" xr:uid="{5CA94CC2-A724-433B-902E-D6EFA97DCB10}">
      <text>
        <r>
          <rPr>
            <sz val="9"/>
            <color indexed="81"/>
            <rFont val="Segoe UI"/>
            <family val="2"/>
          </rPr>
          <t>Desconto: 04/08/2021</t>
        </r>
      </text>
    </comment>
    <comment ref="F15" authorId="0" shapeId="0" xr:uid="{F861A01D-E4C5-42AC-9F01-97FDAEB46592}">
      <text>
        <r>
          <rPr>
            <sz val="9"/>
            <color indexed="81"/>
            <rFont val="Tahoma"/>
            <family val="2"/>
          </rPr>
          <t>26/02/2022 - Concluído_x000D_
11/02/2022 - Aguardando PG_x000D_
11/02/2022 - Analisando_x000D_
02/02/2022 - Em análise</t>
        </r>
      </text>
    </comment>
    <comment ref="D16" authorId="0" shapeId="0" xr:uid="{95CAD2E9-EA3E-4072-A5EC-0066F75A4E04}">
      <text>
        <r>
          <rPr>
            <sz val="9"/>
            <color indexed="81"/>
            <rFont val="Segoe UI"/>
            <family val="2"/>
          </rPr>
          <t>Desconto: 25/04/2019</t>
        </r>
      </text>
    </comment>
    <comment ref="F16" authorId="1" shapeId="0" xr:uid="{F9205DF1-2089-4816-B235-A8B9F3F9EFAC}">
      <text>
        <r>
          <rPr>
            <sz val="9"/>
            <color indexed="81"/>
            <rFont val="Tahoma"/>
            <family val="2"/>
          </rPr>
          <t>06/12/2021 - Aguardando PG_x000D_
01/12/2021 - Analisando_x000D_
01/12/2021 - Em análise</t>
        </r>
      </text>
    </comment>
    <comment ref="D17" authorId="0" shapeId="0" xr:uid="{E2BB5B3F-3E11-464C-88FA-5EA5FE5F0EDF}">
      <text>
        <r>
          <rPr>
            <sz val="9"/>
            <color indexed="81"/>
            <rFont val="Segoe UI"/>
            <family val="2"/>
          </rPr>
          <t>Desconto: 05/12/2021</t>
        </r>
      </text>
    </comment>
    <comment ref="F17" authorId="0" shapeId="0" xr:uid="{4C054079-A5A9-43A2-B430-1CC8AE412E1F}">
      <text>
        <r>
          <rPr>
            <sz val="9"/>
            <color indexed="81"/>
            <rFont val="Tahoma"/>
            <family val="2"/>
          </rPr>
          <t>17/02/2022 - Concluído_x000D_
15/02/2022 - Aguardando PG_x000D_
11/02/2022 - Analisando_x000D_
02/02/2022 - Em análise</t>
        </r>
      </text>
    </comment>
    <comment ref="D18" authorId="0" shapeId="0" xr:uid="{237B12B7-1654-4099-9623-1BB0F3D63939}">
      <text>
        <r>
          <rPr>
            <sz val="9"/>
            <color indexed="81"/>
            <rFont val="Segoe UI"/>
            <family val="2"/>
          </rPr>
          <t>Desconto: 24/06/2021</t>
        </r>
      </text>
    </comment>
    <comment ref="F18" authorId="1" shapeId="0" xr:uid="{466324ED-51B3-4F69-8A2C-F7B408BE6528}">
      <text>
        <r>
          <rPr>
            <sz val="9"/>
            <color indexed="81"/>
            <rFont val="Tahoma"/>
            <family val="2"/>
          </rPr>
          <t>06/12/2021 - Aguardando PG_x000D_
30/11/2021 - Analisando_x000D_
04/11/2021 - Em análise</t>
        </r>
      </text>
    </comment>
    <comment ref="D19" authorId="0" shapeId="0" xr:uid="{E11AC56F-2B2F-4305-B8A9-472284C3FBAE}">
      <text>
        <r>
          <rPr>
            <sz val="9"/>
            <color indexed="81"/>
            <rFont val="Segoe UI"/>
            <family val="2"/>
          </rPr>
          <t>Desconto: 17/12/2020</t>
        </r>
      </text>
    </comment>
    <comment ref="F19" authorId="0" shapeId="0" xr:uid="{D4D280F9-4152-4E59-91C8-D1CBBEF21F1A}">
      <text>
        <r>
          <rPr>
            <sz val="9"/>
            <color indexed="81"/>
            <rFont val="Tahoma"/>
            <family val="2"/>
          </rPr>
          <t>15/02/2022 - Concluído_x000D_
11/02/2022 - Aguardando PG_x000D_
02/02/2022 - Em análise</t>
        </r>
      </text>
    </comment>
    <comment ref="D20" authorId="0" shapeId="0" xr:uid="{52588FB9-F352-42A2-9022-074C72D9B374}">
      <text>
        <r>
          <rPr>
            <sz val="9"/>
            <color indexed="81"/>
            <rFont val="Segoe UI"/>
            <family val="2"/>
          </rPr>
          <t>Desconto: 29/11/2021</t>
        </r>
      </text>
    </comment>
    <comment ref="F20" authorId="1" shapeId="0" xr:uid="{53D39415-9848-4BC2-801B-9137DA51900E}">
      <text>
        <r>
          <rPr>
            <sz val="9"/>
            <color indexed="81"/>
            <rFont val="Tahoma"/>
            <family val="2"/>
          </rPr>
          <t>08/02/2022 - Concluído_x000D_
08/02/2022 - Aguardando PG_x000D_
08/02/2022 - Em análise</t>
        </r>
      </text>
    </comment>
    <comment ref="F21" authorId="0" shapeId="0" xr:uid="{D5D08289-5DF8-44A8-B911-64C36002FC3A}">
      <text>
        <r>
          <rPr>
            <sz val="9"/>
            <color indexed="81"/>
            <rFont val="Tahoma"/>
            <family val="2"/>
          </rPr>
          <t>17/02/2022 - Concluído_x000D_
11/02/2022 - Aguardando PG_x000D_
11/02/2022 - Analisando_x000D_
02/02/2022 - Em análise</t>
        </r>
      </text>
    </comment>
    <comment ref="D22" authorId="0" shapeId="0" xr:uid="{39C0B8ED-E8E2-41B8-9912-D4A799DBE523}">
      <text>
        <r>
          <rPr>
            <sz val="9"/>
            <color indexed="81"/>
            <rFont val="Segoe UI"/>
            <family val="2"/>
          </rPr>
          <t>Desconto: 04/07/2021</t>
        </r>
      </text>
    </comment>
    <comment ref="F22" authorId="1" shapeId="0" xr:uid="{E34642E8-B6BC-4D2F-BBBC-D4B8D3061D35}">
      <text>
        <r>
          <rPr>
            <sz val="9"/>
            <color indexed="81"/>
            <rFont val="Tahoma"/>
            <family val="2"/>
          </rPr>
          <t>16/02/2022 - Concluído_x000D_
16/02/2022 - Aguardando PG_x000D_
16/02/2022 - Analisando_x000D_
08/02/2022 - Em análise</t>
        </r>
      </text>
    </comment>
    <comment ref="F23" authorId="0" shapeId="0" xr:uid="{70E08EB8-CD1E-4319-A470-A1DAEFBB1047}">
      <text>
        <r>
          <rPr>
            <sz val="9"/>
            <color indexed="81"/>
            <rFont val="Tahoma"/>
            <family val="2"/>
          </rPr>
          <t>18/02/2022 - Concluído_x000D_
09/02/2022 - Aguardando PG_x000D_
09/02/2022 - Analisando_x000D_
02/02/2022 - Em análise</t>
        </r>
      </text>
    </comment>
    <comment ref="D24" authorId="0" shapeId="0" xr:uid="{3A043B90-DD7D-4A77-8368-4FAF9D542DEE}">
      <text>
        <r>
          <rPr>
            <sz val="9"/>
            <color indexed="81"/>
            <rFont val="Segoe UI"/>
            <family val="2"/>
          </rPr>
          <t>Desconto: 09/11/2021</t>
        </r>
      </text>
    </comment>
    <comment ref="F24" authorId="1" shapeId="0" xr:uid="{29165988-B42D-486B-BE5E-D19E9E844AFC}">
      <text>
        <r>
          <rPr>
            <sz val="9"/>
            <color indexed="81"/>
            <rFont val="Tahoma"/>
            <family val="2"/>
          </rPr>
          <t>10/12/2021 - Aguardando PG_x000D_
10/12/2021 - Analisando_x000D_
30/11/2021 - Pendente_x000D_
30/11/2021 - Analisando_x000D_
29/11/2021 - Em análise_x000D_
28/11/2021 - Pendente</t>
        </r>
      </text>
    </comment>
    <comment ref="D25" authorId="0" shapeId="0" xr:uid="{172F9413-5492-4EC6-81E7-F00255F04F26}">
      <text>
        <r>
          <rPr>
            <sz val="9"/>
            <color indexed="81"/>
            <rFont val="Segoe UI"/>
            <family val="2"/>
          </rPr>
          <t>Desconto: 28/10/2021</t>
        </r>
      </text>
    </comment>
    <comment ref="F25" authorId="1" shapeId="0" xr:uid="{755264AA-27E5-4123-BAC7-A01DAAF53909}">
      <text>
        <r>
          <rPr>
            <sz val="9"/>
            <color indexed="81"/>
            <rFont val="Tahoma"/>
            <family val="2"/>
          </rPr>
          <t>25/02/2022 - Concluído_x000D_
15/02/2022 - Aguardando PG_x000D_
15/02/2022 - Analisando_x000D_
15/02/2022 - Em análise</t>
        </r>
      </text>
    </comment>
    <comment ref="D26" authorId="0" shapeId="0" xr:uid="{2C814D03-B28B-4B2A-8AC2-9DF194564A4E}">
      <text>
        <r>
          <rPr>
            <sz val="9"/>
            <color indexed="81"/>
            <rFont val="Segoe UI"/>
            <family val="2"/>
          </rPr>
          <t>Desconto: 18/04/2022</t>
        </r>
      </text>
    </comment>
    <comment ref="F26" authorId="0" shapeId="0" xr:uid="{128EE9B5-C1D5-4D04-8445-4B955799601E}">
      <text>
        <r>
          <rPr>
            <sz val="9"/>
            <color indexed="81"/>
            <rFont val="Tahoma"/>
            <family val="2"/>
          </rPr>
          <t>16/02/2022 - Concluído_x000D_
16/02/2022 - Aguardando PG_x000D_
16/02/2022 - Analisando_x000D_
14/02/2022 - Em análise</t>
        </r>
      </text>
    </comment>
    <comment ref="D27" authorId="0" shapeId="0" xr:uid="{4DE734A0-3753-433D-8A80-788F67705440}">
      <text>
        <r>
          <rPr>
            <sz val="9"/>
            <color indexed="81"/>
            <rFont val="Segoe UI"/>
            <family val="2"/>
          </rPr>
          <t>Desconto: 29/11/2021</t>
        </r>
      </text>
    </comment>
    <comment ref="F27" authorId="0" shapeId="0" xr:uid="{A8C9058A-83B6-4D1A-AF9D-5ED68352D29B}">
      <text>
        <r>
          <rPr>
            <sz val="9"/>
            <color indexed="81"/>
            <rFont val="Tahoma"/>
            <family val="2"/>
          </rPr>
          <t>22/02/2022 - Concluído_x000D_
11/02/2022 - Aguardando PG_x000D_
11/02/2022 - Analisando_x000D_
02/02/2022 - Em análise</t>
        </r>
      </text>
    </comment>
    <comment ref="D28" authorId="0" shapeId="0" xr:uid="{26C060C7-922D-43D7-B542-8656DEC5DE22}">
      <text>
        <r>
          <rPr>
            <sz val="9"/>
            <color indexed="81"/>
            <rFont val="Segoe UI"/>
            <family val="2"/>
          </rPr>
          <t>Desconto: 12/12/2021</t>
        </r>
      </text>
    </comment>
    <comment ref="F28" authorId="1" shapeId="0" xr:uid="{0D50E5E0-2574-4F37-BE3D-6138BB193DAC}">
      <text>
        <r>
          <rPr>
            <sz val="9"/>
            <color indexed="81"/>
            <rFont val="Tahoma"/>
            <family val="2"/>
          </rPr>
          <t>18/02/2022 - Concluído_x000D_
08/02/2022 - Aguardando PG_x000D_
21/12/2021 - Pendente_x000D_
13/12/2021 - Em análise</t>
        </r>
      </text>
    </comment>
    <comment ref="D29" authorId="0" shapeId="0" xr:uid="{87C8B97B-7251-4A6C-8450-3C3F6B51CB5B}">
      <text>
        <r>
          <rPr>
            <sz val="9"/>
            <color indexed="81"/>
            <rFont val="Segoe UI"/>
            <family val="2"/>
          </rPr>
          <t>Desconto: 09/05/2013</t>
        </r>
      </text>
    </comment>
    <comment ref="F29" authorId="1" shapeId="0" xr:uid="{87441B9E-0CB8-40F6-A741-54C7273CE279}">
      <text>
        <r>
          <rPr>
            <sz val="9"/>
            <color indexed="81"/>
            <rFont val="Tahoma"/>
            <family val="2"/>
          </rPr>
          <t>17/02/2022 - Concluído_x000D_
17/02/2022 - Aguardando PG_x000D_
17/02/2022 - Analisando_x000D_
08/02/2022 - Em análise</t>
        </r>
      </text>
    </comment>
    <comment ref="D30" authorId="0" shapeId="0" xr:uid="{6E55096D-D21D-44C0-95FF-6BE1FC259BC4}">
      <text>
        <r>
          <rPr>
            <sz val="9"/>
            <color indexed="81"/>
            <rFont val="Segoe UI"/>
            <family val="2"/>
          </rPr>
          <t>Desconto: 28/12/2016</t>
        </r>
      </text>
    </comment>
    <comment ref="F30" authorId="1" shapeId="0" xr:uid="{48FFD049-D2D3-4EC8-BC79-10B61CD242CE}">
      <text>
        <r>
          <rPr>
            <sz val="9"/>
            <color indexed="81"/>
            <rFont val="Tahoma"/>
            <family val="2"/>
          </rPr>
          <t>08/02/2022 - Concluído_x000D_
23/12/2021 - Aguardando PG_x000D_
20/12/2021 - Em análise</t>
        </r>
      </text>
    </comment>
    <comment ref="F31" authorId="0" shapeId="0" xr:uid="{29C99C71-54D0-4A4A-9B1E-E4B44912AFE6}">
      <text>
        <r>
          <rPr>
            <sz val="9"/>
            <color indexed="81"/>
            <rFont val="Tahoma"/>
            <family val="2"/>
          </rPr>
          <t>17/02/2022 - Concluído_x000D_
14/02/2022 - Aguardando PG_x000D_
11/02/2022 - Analisando_x000D_
02/02/2022 - Em análise</t>
        </r>
      </text>
    </comment>
    <comment ref="F32" authorId="1" shapeId="0" xr:uid="{8FD8A81D-2A9A-4F30-91DD-75A79C315F8C}">
      <text>
        <r>
          <rPr>
            <sz val="9"/>
            <color indexed="81"/>
            <rFont val="Tahoma"/>
            <family val="2"/>
          </rPr>
          <t>27/02/2022 - Concluído_x000D_
22/02/2022 - Aguardando PG_x000D_
22/02/2022 - Analisando_x000D_
15/02/2022 - Em análise</t>
        </r>
      </text>
    </comment>
    <comment ref="F33" authorId="0" shapeId="0" xr:uid="{B1C4D385-1D38-4969-B676-5D7E41D9A302}">
      <text>
        <r>
          <rPr>
            <sz val="9"/>
            <color indexed="81"/>
            <rFont val="Tahoma"/>
            <family val="2"/>
          </rPr>
          <t>14/02/2022 - Concluído_x000D_
31/01/2022 - Aguardando PG_x000D_
16/12/2021 - Pendente_x000D_
10/12/2021 - Em análise</t>
        </r>
      </text>
    </comment>
    <comment ref="D34" authorId="0" shapeId="0" xr:uid="{E93CF901-7E6B-4700-9261-CE7996F26ECE}">
      <text>
        <r>
          <rPr>
            <sz val="9"/>
            <color indexed="81"/>
            <rFont val="Segoe UI"/>
            <family val="2"/>
          </rPr>
          <t>Desconto: 19/02/2022</t>
        </r>
      </text>
    </comment>
    <comment ref="F34" authorId="1" shapeId="0" xr:uid="{EC514F34-1E65-4EC1-9976-3175825C7E7B}">
      <text>
        <r>
          <rPr>
            <sz val="9"/>
            <color indexed="81"/>
            <rFont val="Tahoma"/>
            <family val="2"/>
          </rPr>
          <t>17/02/2022 - Concluído_x000D_
17/02/2022 - Analisando_x000D_
16/02/2022 - Aguardando PG_x000D_
15/02/2022 - Pendente_x000D_
15/02/2022 - Analisando_x000D_
08/02/2022 - Em análise</t>
        </r>
      </text>
    </comment>
    <comment ref="D35" authorId="0" shapeId="0" xr:uid="{D7ACAB1F-F53C-4A65-B784-0E7DB22F2F11}">
      <text>
        <r>
          <rPr>
            <sz val="9"/>
            <color indexed="81"/>
            <rFont val="Segoe UI"/>
            <family val="2"/>
          </rPr>
          <t>Desconto: 03/01/2022</t>
        </r>
      </text>
    </comment>
    <comment ref="F35" authorId="1" shapeId="0" xr:uid="{ED726599-4164-4CB5-AFE1-DB0FD7B4546E}">
      <text>
        <r>
          <rPr>
            <sz val="9"/>
            <color indexed="81"/>
            <rFont val="Tahoma"/>
            <family val="2"/>
          </rPr>
          <t>08/02/2022 - Concluído_x000D_
09/12/2021 - Aguardando PG_x000D_
09/12/2021 - Analisando_x000D_
30/11/2021 - Em análise</t>
        </r>
      </text>
    </comment>
    <comment ref="D36" authorId="0" shapeId="0" xr:uid="{DF7C85C8-164C-47C9-AB49-EE3AB399DBAA}">
      <text>
        <r>
          <rPr>
            <sz val="9"/>
            <color indexed="81"/>
            <rFont val="Segoe UI"/>
            <family val="2"/>
          </rPr>
          <t>Desconto: 29/08/2021</t>
        </r>
      </text>
    </comment>
    <comment ref="F36" authorId="1" shapeId="0" xr:uid="{6083A6AF-6527-4AE1-ADCB-3C55CE566C94}">
      <text>
        <r>
          <rPr>
            <sz val="9"/>
            <color indexed="81"/>
            <rFont val="Tahoma"/>
            <family val="2"/>
          </rPr>
          <t>26/02/2022 - Concluído_x000D_
03/02/2022 - Aguardando PG_x000D_
03/02/2022 - Aguardando PG_x000D_
03/02/2022 - Analisando_x000D_
16/12/2021 - DF_x000D_
16/12/2021 - DF_x000D_
16/12/2021 - DF_x000D_
09/12/2021 - Pendente_x000D_
09/12/2021 - Analisando_x000D_
30/11/2021 - Em análise</t>
        </r>
      </text>
    </comment>
    <comment ref="F37" authorId="1" shapeId="0" xr:uid="{C2ACB630-2CBB-4722-B1BB-1BAE4E80F7FA}">
      <text>
        <r>
          <rPr>
            <sz val="9"/>
            <color indexed="81"/>
            <rFont val="Tahoma"/>
            <family val="2"/>
          </rPr>
          <t>20/12/2021 - Cancelado_x000D_
14/12/2021 - Pendente_x000D_
10/12/2021 - Aguardando PG_x000D_
10/12/2021 - Analisando_x000D_
23/11/2021 - Em análise</t>
        </r>
      </text>
    </comment>
    <comment ref="D38" authorId="0" shapeId="0" xr:uid="{B4335449-A179-4DC5-9397-B1F09170E2E8}">
      <text>
        <r>
          <rPr>
            <sz val="9"/>
            <color indexed="81"/>
            <rFont val="Segoe UI"/>
            <family val="2"/>
          </rPr>
          <t>Desconto: 04/09/2021</t>
        </r>
      </text>
    </comment>
    <comment ref="F38" authorId="1" shapeId="0" xr:uid="{3A51842B-20EE-4F66-8CD4-F2B159FB43F4}">
      <text>
        <r>
          <rPr>
            <sz val="9"/>
            <color indexed="81"/>
            <rFont val="Tahoma"/>
            <family val="2"/>
          </rPr>
          <t>22/12/2021 - Aguardando PG_x000D_
22/12/2021 - Analisando_x000D_
13/12/2021 - Em análise</t>
        </r>
      </text>
    </comment>
    <comment ref="D39" authorId="0" shapeId="0" xr:uid="{C57E38EA-ED5F-4DE7-A7B0-76BBC9B6C921}">
      <text>
        <r>
          <rPr>
            <sz val="9"/>
            <color indexed="81"/>
            <rFont val="Segoe UI"/>
            <family val="2"/>
          </rPr>
          <t>Desconto: 11/10/2021</t>
        </r>
      </text>
    </comment>
    <comment ref="F39" authorId="1" shapeId="0" xr:uid="{C1543CAE-59FF-402A-9495-239F122040D9}">
      <text>
        <r>
          <rPr>
            <sz val="9"/>
            <color indexed="81"/>
            <rFont val="Tahoma"/>
            <family val="2"/>
          </rPr>
          <t>10/02/2022 - Concluído_x000D_
04/02/2022 - Aguardando PG_x000D_
04/02/2022 - Analisando_x000D_
10/12/2021 - Aguardando PG_x000D_
10/12/2021 - Analisando_x000D_
30/11/2021 - Em análise</t>
        </r>
      </text>
    </comment>
    <comment ref="F40" authorId="1" shapeId="0" xr:uid="{4040CF0A-0E24-4578-A90F-C0D798BFE9C0}">
      <text>
        <r>
          <rPr>
            <sz val="9"/>
            <color indexed="81"/>
            <rFont val="Tahoma"/>
            <family val="2"/>
          </rPr>
          <t>22/12/2021 - Aguardando PG_x000D_
22/12/2021 - Analisando_x000D_
13/12/2021 - Em análise</t>
        </r>
      </text>
    </comment>
    <comment ref="D41" authorId="0" shapeId="0" xr:uid="{BC4EAF6C-0638-4467-AC62-7687226CD835}">
      <text>
        <r>
          <rPr>
            <sz val="9"/>
            <color indexed="81"/>
            <rFont val="Segoe UI"/>
            <family val="2"/>
          </rPr>
          <t>Desconto: 30/11/2021</t>
        </r>
      </text>
    </comment>
    <comment ref="F41" authorId="1" shapeId="0" xr:uid="{75894AB9-F537-415B-99B6-24F9C362B4A2}">
      <text>
        <r>
          <rPr>
            <sz val="9"/>
            <color indexed="81"/>
            <rFont val="Tahoma"/>
            <family val="2"/>
          </rPr>
          <t>15/02/2022 - DF-Avaliação_x000D_
10/12/2021 - DF_x000D_
01/12/2021 - Em análise_x000D_
30/11/2021 - Pendente</t>
        </r>
      </text>
    </comment>
    <comment ref="D42" authorId="0" shapeId="0" xr:uid="{77E0D8B8-4FC0-4B08-82B6-DEEF6A44F060}">
      <text>
        <r>
          <rPr>
            <sz val="9"/>
            <color indexed="81"/>
            <rFont val="Segoe UI"/>
            <family val="2"/>
          </rPr>
          <t>Desconto: 09/01/2020</t>
        </r>
      </text>
    </comment>
    <comment ref="F42" authorId="1" shapeId="0" xr:uid="{200D6DC6-2B0F-4AF4-8C7B-61DCD4862BA5}">
      <text>
        <r>
          <rPr>
            <sz val="9"/>
            <color indexed="81"/>
            <rFont val="Tahoma"/>
            <family val="2"/>
          </rPr>
          <t>11/02/2022 - Concluído_x000D_
11/02/2022 - Aguardando PG_x000D_
08/02/2022 - Analisando_x000D_
08/02/2022 - Em análise</t>
        </r>
      </text>
    </comment>
    <comment ref="D43" authorId="0" shapeId="0" xr:uid="{9747A1C2-CD98-4961-96C9-EDE15A0BD458}">
      <text>
        <r>
          <rPr>
            <sz val="9"/>
            <color indexed="81"/>
            <rFont val="Segoe UI"/>
            <family val="2"/>
          </rPr>
          <t>Desconto: 31/05/2021</t>
        </r>
      </text>
    </comment>
    <comment ref="F43" authorId="0" shapeId="0" xr:uid="{B05BFE1D-1CE7-4E54-B3CA-82BB58718BA7}">
      <text>
        <r>
          <rPr>
            <sz val="9"/>
            <color indexed="81"/>
            <rFont val="Tahoma"/>
            <family val="2"/>
          </rPr>
          <t>15/02/2022 - Concluído_x000D_
14/02/2022 - Aguardando PG_x000D_
11/02/2022 - Analisando_x000D_
02/02/2022 - Em análise</t>
        </r>
      </text>
    </comment>
    <comment ref="D44" authorId="0" shapeId="0" xr:uid="{E0204570-9DCE-4903-A5A9-321BFCD67EF4}">
      <text>
        <r>
          <rPr>
            <sz val="9"/>
            <color indexed="81"/>
            <rFont val="Segoe UI"/>
            <family val="2"/>
          </rPr>
          <t>Desconto: 09/09/2018</t>
        </r>
      </text>
    </comment>
    <comment ref="F44" authorId="1" shapeId="0" xr:uid="{0F002E3F-8C9C-449B-842A-7A20C0B75F4F}">
      <text>
        <r>
          <rPr>
            <sz val="9"/>
            <color indexed="81"/>
            <rFont val="Tahoma"/>
            <family val="2"/>
          </rPr>
          <t>18/02/2022 - Concluído_x000D_
15/02/2022 - Aguardando PG_x000D_
15/02/2022 - Em análise</t>
        </r>
      </text>
    </comment>
    <comment ref="D45" authorId="0" shapeId="0" xr:uid="{6AFC0DA9-57A9-45C6-9D96-EC7866EBA8A5}">
      <text>
        <r>
          <rPr>
            <sz val="9"/>
            <color indexed="81"/>
            <rFont val="Segoe UI"/>
            <family val="2"/>
          </rPr>
          <t>Desconto: 24/04/2019</t>
        </r>
      </text>
    </comment>
    <comment ref="F45" authorId="1" shapeId="0" xr:uid="{D8393545-45C3-4E31-9B49-2D3D645F07F1}">
      <text>
        <r>
          <rPr>
            <sz val="9"/>
            <color indexed="81"/>
            <rFont val="Tahoma"/>
            <family val="2"/>
          </rPr>
          <t>07/02/2022 - Concluído_x000D_
03/02/2022 - Aguardando PG_x000D_
02/02/2022 - Aguardando PG_x000D_
31/01/2022 - Analisando_x000D_
22/12/2021 - Pendente_x000D_
22/12/2021 - Analisando_x000D_
13/12/2021 - Em análise</t>
        </r>
      </text>
    </comment>
    <comment ref="D46" authorId="0" shapeId="0" xr:uid="{B985994D-1DA2-4B4C-B4F2-D38B0C4C249E}">
      <text>
        <r>
          <rPr>
            <sz val="9"/>
            <color indexed="81"/>
            <rFont val="Segoe UI"/>
            <family val="2"/>
          </rPr>
          <t>Desconto: 12/12/2021</t>
        </r>
      </text>
    </comment>
    <comment ref="F46" authorId="1" shapeId="0" xr:uid="{718C3D06-3B0A-4841-B523-3DBF25DD0C70}">
      <text>
        <r>
          <rPr>
            <sz val="9"/>
            <color indexed="81"/>
            <rFont val="Tahoma"/>
            <family val="2"/>
          </rPr>
          <t>03/02/2022 - Aguardando PG_x000D_
22/12/2021 - Aguardando PG_x000D_
20/12/2021 - Pendente_x000D_
20/12/2021 - Analisando_x000D_
10/12/2021 - Pendente_x000D_
30/11/2021 - Em análise</t>
        </r>
      </text>
    </comment>
    <comment ref="F47" authorId="1" shapeId="0" xr:uid="{A32FDE92-D0B9-442A-8E4D-0EA7BFAB1BFE}">
      <text>
        <r>
          <rPr>
            <sz val="9"/>
            <color indexed="81"/>
            <rFont val="Tahoma"/>
            <family val="2"/>
          </rPr>
          <t>22/12/2021 - Aguardando PG_x000D_
13/12/2021 - Em análise</t>
        </r>
      </text>
    </comment>
    <comment ref="D48" authorId="0" shapeId="0" xr:uid="{D252064F-D14D-479F-94A4-89286FB08F8B}">
      <text>
        <r>
          <rPr>
            <sz val="9"/>
            <color indexed="81"/>
            <rFont val="Segoe UI"/>
            <family val="2"/>
          </rPr>
          <t>Desconto: 24/09/2020</t>
        </r>
      </text>
    </comment>
    <comment ref="F48" authorId="1" shapeId="0" xr:uid="{C40A33DB-C57A-46A8-AA6C-B6B08C81F2A0}">
      <text>
        <r>
          <rPr>
            <sz val="9"/>
            <color indexed="81"/>
            <rFont val="Tahoma"/>
            <family val="2"/>
          </rPr>
          <t>07/02/2022 - Concluído_x000D_
03/02/2022 - Aguardando PG_x000D_
02/02/2022 - Aguardando PG_x000D_
22/12/2021 - Pendente_x000D_
22/12/2021 - Analisando_x000D_
13/12/2021 - Em análise</t>
        </r>
      </text>
    </comment>
    <comment ref="F49" authorId="1" shapeId="0" xr:uid="{46ABBEF0-195C-44DC-B35C-161CCB30F160}">
      <text>
        <r>
          <rPr>
            <sz val="9"/>
            <color indexed="81"/>
            <rFont val="Tahoma"/>
            <family val="2"/>
          </rPr>
          <t>19/02/2022 - Concluído_x000D_
10/02/2022 - Em análise</t>
        </r>
      </text>
    </comment>
    <comment ref="F50" authorId="0" shapeId="0" xr:uid="{2C48BA78-80DE-48CC-BAEE-F3C5878A6C08}">
      <text>
        <r>
          <rPr>
            <sz val="9"/>
            <color indexed="81"/>
            <rFont val="Tahoma"/>
            <family val="2"/>
          </rPr>
          <t>19/02/2022 - Concluído_x000D_
19/02/2022 - Analisando_x000D_
15/02/2022 - Em análise</t>
        </r>
      </text>
    </comment>
    <comment ref="F51" authorId="0" shapeId="0" xr:uid="{7F8484D3-879A-4B45-8941-58DE865CBAF6}">
      <text>
        <r>
          <rPr>
            <sz val="9"/>
            <color indexed="81"/>
            <rFont val="Tahoma"/>
            <family val="2"/>
          </rPr>
          <t>19/02/2022 - Concluído_x000D_
19/02/2022 - Analisando_x000D_
15/02/2022 - Em análise</t>
        </r>
      </text>
    </comment>
    <comment ref="D52" authorId="0" shapeId="0" xr:uid="{CE590C05-BB25-4620-8EF7-36C9E8C2C887}">
      <text>
        <r>
          <rPr>
            <sz val="9"/>
            <color indexed="81"/>
            <rFont val="Segoe UI"/>
            <family val="2"/>
          </rPr>
          <t>Desconto: 20/02/2022</t>
        </r>
      </text>
    </comment>
    <comment ref="F52" authorId="1" shapeId="0" xr:uid="{B2DCB426-05EC-4065-B994-7E5937421F4D}">
      <text>
        <r>
          <rPr>
            <sz val="9"/>
            <color indexed="81"/>
            <rFont val="Tahoma"/>
            <family val="2"/>
          </rPr>
          <t>17/02/2022 - Concluído_x000D_
17/02/2022 - Analisando_x000D_
16/02/2022 - Em análise</t>
        </r>
      </text>
    </comment>
    <comment ref="D53" authorId="0" shapeId="0" xr:uid="{3B20203B-5BEE-4CAB-A3D2-28CBA0F8CFA8}">
      <text>
        <r>
          <rPr>
            <sz val="9"/>
            <color indexed="81"/>
            <rFont val="Segoe UI"/>
            <family val="2"/>
          </rPr>
          <t>Desconto: 26/01/2022</t>
        </r>
      </text>
    </comment>
    <comment ref="F53" authorId="1" shapeId="0" xr:uid="{27CF5154-8B07-4CB6-A6BC-CDDC1ACF8D44}">
      <text>
        <r>
          <rPr>
            <sz val="9"/>
            <color indexed="81"/>
            <rFont val="Tahoma"/>
            <family val="2"/>
          </rPr>
          <t>23/12/2021 - Aguardando PG_x000D_
23/12/2021 - Analisando_x000D_
23/12/2021 - Analisando_x000D_
13/12/2021 - Em análise</t>
        </r>
      </text>
    </comment>
    <comment ref="F54" authorId="1" shapeId="0" xr:uid="{BE7730E3-7765-4C9B-9320-84B6D7A93E97}">
      <text>
        <r>
          <rPr>
            <sz val="9"/>
            <color indexed="81"/>
            <rFont val="Tahoma"/>
            <family val="2"/>
          </rPr>
          <t>16/02/2022 - Concluído_x000D_
16/02/2022 - Analisando_x000D_
15/02/2022 - Em análise</t>
        </r>
      </text>
    </comment>
    <comment ref="F55" authorId="0" shapeId="0" xr:uid="{8F9007E8-4774-4AD2-8983-94E72297E0B5}">
      <text>
        <r>
          <rPr>
            <sz val="9"/>
            <color indexed="81"/>
            <rFont val="Tahoma"/>
            <family val="2"/>
          </rPr>
          <t>16/12/2021 - Transferido_x000D_
16/12/2021 - Transferido_x000D_
10/12/2021 - Em análise</t>
        </r>
      </text>
    </comment>
    <comment ref="D56" authorId="0" shapeId="0" xr:uid="{2B6AAB69-B436-469F-9DD4-4A61C86DFD37}">
      <text>
        <r>
          <rPr>
            <sz val="9"/>
            <color indexed="81"/>
            <rFont val="Segoe UI"/>
            <family val="2"/>
          </rPr>
          <t>Desconto: 12/08/2020</t>
        </r>
      </text>
    </comment>
    <comment ref="F56" authorId="0" shapeId="0" xr:uid="{4999F5E5-E8FC-44C0-B639-B32E6C369605}">
      <text>
        <r>
          <rPr>
            <sz val="9"/>
            <color indexed="81"/>
            <rFont val="Tahoma"/>
            <family val="2"/>
          </rPr>
          <t>16/02/2022 - Concluído_x000D_
16/02/2022 - Analisando_x000D_
14/02/2022 - Em análise</t>
        </r>
      </text>
    </comment>
    <comment ref="F57" authorId="0" shapeId="0" xr:uid="{B55B803F-D9D6-453A-B780-E8D774CEE821}">
      <text>
        <r>
          <rPr>
            <sz val="9"/>
            <color indexed="81"/>
            <rFont val="Tahoma"/>
            <family val="2"/>
          </rPr>
          <t>16/02/2022 - Concluído_x000D_
16/02/2022 - Analisando_x000D_
02/02/2022 - Em análise</t>
        </r>
      </text>
    </comment>
    <comment ref="D58" authorId="0" shapeId="0" xr:uid="{0F73A518-6123-4C1B-8323-00293518370E}">
      <text>
        <r>
          <rPr>
            <sz val="9"/>
            <color indexed="81"/>
            <rFont val="Segoe UI"/>
            <family val="2"/>
          </rPr>
          <t>Desconto: 06/12/1993</t>
        </r>
      </text>
    </comment>
    <comment ref="F58" authorId="0" shapeId="0" xr:uid="{4734B0C3-A23F-4EEE-94C6-F156AC345A14}">
      <text>
        <r>
          <rPr>
            <sz val="9"/>
            <color indexed="81"/>
            <rFont val="Tahoma"/>
            <family val="2"/>
          </rPr>
          <t>16/02/2022 - Concluído_x000D_
16/02/2022 - Analisando_x000D_
14/02/2022 - Em análise</t>
        </r>
      </text>
    </comment>
    <comment ref="F59" authorId="1" shapeId="0" xr:uid="{3C6B2CC9-F897-4B59-9B7B-43F623469B2C}">
      <text>
        <r>
          <rPr>
            <sz val="9"/>
            <color indexed="81"/>
            <rFont val="Tahoma"/>
            <family val="2"/>
          </rPr>
          <t>15/02/2022 - Concluído_x000D_
08/02/2022 - Em análise</t>
        </r>
      </text>
    </comment>
    <comment ref="D60" authorId="0" shapeId="0" xr:uid="{B70FAB69-329B-453C-805B-B5176AB79AA7}">
      <text>
        <r>
          <rPr>
            <sz val="9"/>
            <color indexed="81"/>
            <rFont val="Segoe UI"/>
            <family val="2"/>
          </rPr>
          <t>Desconto: 09/03/2022</t>
        </r>
      </text>
    </comment>
    <comment ref="F60" authorId="0" shapeId="0" xr:uid="{152FD3AC-68BA-4AAB-80B7-4DE0D2A7D47F}">
      <text>
        <r>
          <rPr>
            <sz val="9"/>
            <color indexed="81"/>
            <rFont val="Tahoma"/>
            <family val="2"/>
          </rPr>
          <t>11/02/2022 - Concluído_x000D_
02/02/2022 - Em análise</t>
        </r>
      </text>
    </comment>
    <comment ref="D61" authorId="0" shapeId="0" xr:uid="{F15A9EBD-C542-4A08-AD22-6D9711AC8D18}">
      <text>
        <r>
          <rPr>
            <sz val="9"/>
            <color indexed="81"/>
            <rFont val="Segoe UI"/>
            <family val="2"/>
          </rPr>
          <t>Desconto: 17/04/2005</t>
        </r>
      </text>
    </comment>
    <comment ref="F61" authorId="0" shapeId="0" xr:uid="{DBC8D6EA-104A-4568-861F-35A211124BDF}">
      <text>
        <r>
          <rPr>
            <sz val="9"/>
            <color indexed="81"/>
            <rFont val="Tahoma"/>
            <family val="2"/>
          </rPr>
          <t>09/02/2022 - Concluído_x000D_
09/02/2022 - Analisando_x000D_
02/02/2022 - Em análise</t>
        </r>
      </text>
    </comment>
    <comment ref="F62" authorId="1" shapeId="0" xr:uid="{31A9D079-8CD0-4FFB-A932-DDB1427AE720}">
      <text>
        <r>
          <rPr>
            <sz val="9"/>
            <color indexed="81"/>
            <rFont val="Tahoma"/>
            <family val="2"/>
          </rPr>
          <t>08/02/2022 - Concluído_x000D_
23/12/2021 - Pendente_x000D_
13/12/2021 - Em análise</t>
        </r>
      </text>
    </comment>
    <comment ref="F63" authorId="1" shapeId="0" xr:uid="{8C61807D-5641-4AAA-9714-A8CFFA9FB376}">
      <text>
        <r>
          <rPr>
            <sz val="9"/>
            <color indexed="81"/>
            <rFont val="Tahoma"/>
            <family val="2"/>
          </rPr>
          <t>08/02/2022 - Concluído_x000D_
03/02/2022 - Pendente_x000D_
23/12/2021 - Pendente_x000D_
23/12/2021 - Analisando_x000D_
20/12/2021 - Em análise</t>
        </r>
      </text>
    </comment>
    <comment ref="F64" authorId="1" shapeId="0" xr:uid="{3CE135BA-0837-498B-9B0E-D455C160E033}">
      <text>
        <r>
          <rPr>
            <sz val="9"/>
            <color indexed="81"/>
            <rFont val="Tahoma"/>
            <family val="2"/>
          </rPr>
          <t>23/12/2021 - Concluído_x000D_
23/12/2021 - Analisando_x000D_
20/12/2021 - Em análise</t>
        </r>
      </text>
    </comment>
    <comment ref="D65" authorId="0" shapeId="0" xr:uid="{D25C6155-7914-473E-B00C-B91A2FFC6A52}">
      <text>
        <r>
          <rPr>
            <sz val="9"/>
            <color indexed="81"/>
            <rFont val="Segoe UI"/>
            <family val="2"/>
          </rPr>
          <t>Desconto: 17/07/2019</t>
        </r>
      </text>
    </comment>
    <comment ref="F65" authorId="1" shapeId="0" xr:uid="{D8188BDF-AC18-444F-AAFC-FE852CDDA050}">
      <text>
        <r>
          <rPr>
            <sz val="9"/>
            <color indexed="81"/>
            <rFont val="Tahoma"/>
            <family val="2"/>
          </rPr>
          <t>23/12/2021 - Concluído_x000D_
23/12/2021 - Analisando_x000D_
20/12/2021 - Em análise</t>
        </r>
      </text>
    </comment>
    <comment ref="D66" authorId="0" shapeId="0" xr:uid="{F9EC5D91-80BE-4E6D-ACAF-01113361FC93}">
      <text>
        <r>
          <rPr>
            <sz val="9"/>
            <color indexed="81"/>
            <rFont val="Segoe UI"/>
            <family val="2"/>
          </rPr>
          <t>Desconto: 26/09/2021</t>
        </r>
      </text>
    </comment>
    <comment ref="F66" authorId="1" shapeId="0" xr:uid="{754F6E2D-E222-40C0-BAA5-443AB75444D3}">
      <text>
        <r>
          <rPr>
            <sz val="9"/>
            <color indexed="81"/>
            <rFont val="Tahoma"/>
            <family val="2"/>
          </rPr>
          <t>02/03/2022 - Concluído_x000D_
16/02/2022 - Aguardando PG_x000D_
16/02/2022 - Analisando_x000D_
08/02/2022 - Aguardando PG_x000D_
21/12/2021 - Pendente_x000D_
13/12/2021 - Em análise</t>
        </r>
      </text>
    </comment>
    <comment ref="F67" authorId="1" shapeId="0" xr:uid="{8CD0ED36-CC93-4558-9EB9-29C88BD6B791}">
      <text>
        <r>
          <rPr>
            <sz val="9"/>
            <color indexed="81"/>
            <rFont val="Tahoma"/>
            <family val="2"/>
          </rPr>
          <t>22/12/2021 - Concluído_x000D_
10/12/2021 - Pendente_x000D_
30/11/2021 - Em análise</t>
        </r>
      </text>
    </comment>
    <comment ref="D68" authorId="0" shapeId="0" xr:uid="{29087F43-39D2-497D-AD6B-1D0BC4A841BB}">
      <text>
        <r>
          <rPr>
            <sz val="9"/>
            <color indexed="81"/>
            <rFont val="Segoe UI"/>
            <family val="2"/>
          </rPr>
          <t>Desconto: 24/10/2018</t>
        </r>
      </text>
    </comment>
    <comment ref="F68" authorId="0" shapeId="0" xr:uid="{6A3CD0C4-C77C-4EA9-8814-B57DDBD1F975}">
      <text>
        <r>
          <rPr>
            <sz val="9"/>
            <color indexed="81"/>
            <rFont val="Tahoma"/>
            <family val="2"/>
          </rPr>
          <t>25/02/2022 - Certidão Automática_x000D_
24/02/2022 - Aguardando PG_x000D_
08/02/2022 - Aguardando PG_x000D_
02/02/2022 - Em análise</t>
        </r>
      </text>
    </comment>
    <comment ref="D69" authorId="0" shapeId="0" xr:uid="{CCBAF1BA-5ACD-4FE1-9EE0-8D717FFEE971}">
      <text>
        <r>
          <rPr>
            <sz val="9"/>
            <color indexed="81"/>
            <rFont val="Segoe UI"/>
            <family val="2"/>
          </rPr>
          <t>Desconto: 28/09/2021</t>
        </r>
      </text>
    </comment>
    <comment ref="F69" authorId="1" shapeId="0" xr:uid="{94799DE7-0D95-4F71-B585-82D9D73102EA}">
      <text>
        <r>
          <rPr>
            <sz val="9"/>
            <color indexed="81"/>
            <rFont val="Tahoma"/>
            <family val="2"/>
          </rPr>
          <t>20/12/2021 - Concluído_x000D_
30/11/2021 - Aguardando PG</t>
        </r>
      </text>
    </comment>
    <comment ref="D70" authorId="0" shapeId="0" xr:uid="{4ABE8B6F-31A3-4C97-ACBC-A654D0995884}">
      <text>
        <r>
          <rPr>
            <sz val="9"/>
            <color indexed="81"/>
            <rFont val="Segoe UI"/>
            <family val="2"/>
          </rPr>
          <t>Desconto: 23/09/2021</t>
        </r>
      </text>
    </comment>
    <comment ref="F70" authorId="0" shapeId="0" xr:uid="{EE148F78-B696-4E6C-B9FC-5549370EFB9F}">
      <text>
        <r>
          <rPr>
            <sz val="9"/>
            <color indexed="81"/>
            <rFont val="Tahoma"/>
            <family val="2"/>
          </rPr>
          <t>20/12/2021 - Concluído_x000D_
15/12/2021 - Aguardando PG_x000D_
09/12/2021 - Em análise</t>
        </r>
      </text>
    </comment>
    <comment ref="D71" authorId="0" shapeId="0" xr:uid="{A62AC244-7FD1-4EA2-81EE-02FCDF5C7BC3}">
      <text>
        <r>
          <rPr>
            <sz val="9"/>
            <color indexed="81"/>
            <rFont val="Segoe UI"/>
            <family val="2"/>
          </rPr>
          <t>Desconto: 01/09/2021</t>
        </r>
      </text>
    </comment>
    <comment ref="F71" authorId="1" shapeId="0" xr:uid="{C83C6D18-FA66-4C56-8AF3-C91F7ADB0E05}">
      <text>
        <r>
          <rPr>
            <sz val="9"/>
            <color indexed="81"/>
            <rFont val="Tahoma"/>
            <family val="2"/>
          </rPr>
          <t>02/03/2022 - Concluído_x000D_
11/02/2022 - Aguardando PG_x000D_
11/02/2022 - Analisando_x000D_
09/02/2022 - Pendente_x000D_
09/02/2022 - Analisando_x000D_
08/02/2022 - Pendente_x000D_
02/02/2022 - Pendente_x000D_
23/12/2021 - Pendente_x000D_
23/12/2021 - Analisando_x000D_
20/12/2021 - Em análise</t>
        </r>
      </text>
    </comment>
    <comment ref="D72" authorId="0" shapeId="0" xr:uid="{43DED94C-417E-4580-93C5-1EC73ED049B9}">
      <text>
        <r>
          <rPr>
            <sz val="9"/>
            <color indexed="81"/>
            <rFont val="Segoe UI"/>
            <family val="2"/>
          </rPr>
          <t>Desconto: 24/12/2021</t>
        </r>
      </text>
    </comment>
    <comment ref="F72" authorId="1" shapeId="0" xr:uid="{04888C9A-FCC4-4335-9FFB-32011B8FD74C}">
      <text>
        <r>
          <rPr>
            <sz val="9"/>
            <color indexed="81"/>
            <rFont val="Tahoma"/>
            <family val="2"/>
          </rPr>
          <t>20/12/2021 - Concluído_x000D_
14/12/2021 - Aguardando PG_x000D_
13/12/2021 - Analisando_x000D_
09/12/2021 - Pendente_x000D_
08/12/2021 - Analisando_x000D_
30/11/2021 - Em análise</t>
        </r>
      </text>
    </comment>
    <comment ref="D73" authorId="0" shapeId="0" xr:uid="{ED7D3463-19CD-4278-B6A7-497959FD28B1}">
      <text>
        <r>
          <rPr>
            <sz val="9"/>
            <color indexed="81"/>
            <rFont val="Segoe UI"/>
            <family val="2"/>
          </rPr>
          <t>Desconto: 08/04/2021</t>
        </r>
      </text>
    </comment>
    <comment ref="F73" authorId="1" shapeId="0" xr:uid="{8D939BB4-1AD7-4C84-AB85-D3466615BD2F}">
      <text>
        <r>
          <rPr>
            <sz val="9"/>
            <color indexed="81"/>
            <rFont val="Tahoma"/>
            <family val="2"/>
          </rPr>
          <t>20/12/2021 - Concluído_x000D_
14/12/2021 - Aguardando PG_x000D_
14/12/2021 - Analisando_x000D_
30/11/2021 - Pendente_x000D_
30/11/2021 - Analisando_x000D_
30/11/2021 - Em análise</t>
        </r>
      </text>
    </comment>
    <comment ref="D74" authorId="0" shapeId="0" xr:uid="{DFF766AE-166D-41DA-992F-E7D84D566238}">
      <text>
        <r>
          <rPr>
            <sz val="9"/>
            <color indexed="81"/>
            <rFont val="Segoe UI"/>
            <family val="2"/>
          </rPr>
          <t>Desconto: 17/01/2012</t>
        </r>
      </text>
    </comment>
    <comment ref="F74" authorId="1" shapeId="0" xr:uid="{627DD7D3-A0C5-416F-B362-029881005AB9}">
      <text>
        <r>
          <rPr>
            <sz val="9"/>
            <color indexed="81"/>
            <rFont val="Tahoma"/>
            <family val="2"/>
          </rPr>
          <t>26/02/2022 - Concluído_x000D_
26/02/2022 - Analisando_x000D_
22/02/2022 - Em análise</t>
        </r>
      </text>
    </comment>
    <comment ref="D75" authorId="0" shapeId="0" xr:uid="{151500A5-AF37-4446-A7F5-0E30E836AECF}">
      <text>
        <r>
          <rPr>
            <sz val="9"/>
            <color indexed="81"/>
            <rFont val="Segoe UI"/>
            <family val="2"/>
          </rPr>
          <t>Desconto: 06/01/2022</t>
        </r>
      </text>
    </comment>
    <comment ref="F75" authorId="0" shapeId="0" xr:uid="{AFDF57CE-D031-4AE7-BEB3-59CEA2EF0506}">
      <text>
        <r>
          <rPr>
            <sz val="9"/>
            <color indexed="81"/>
            <rFont val="Tahoma"/>
            <family val="2"/>
          </rPr>
          <t>20/12/2021 - Concluído_x000D_
16/12/2021 - Aguardando PG_x000D_
16/12/2021 - Analisando_x000D_
10/12/2021 - Em análise</t>
        </r>
      </text>
    </comment>
    <comment ref="D76" authorId="0" shapeId="0" xr:uid="{C61C5EA4-82C2-480A-99D1-929E6FEF5547}">
      <text>
        <r>
          <rPr>
            <sz val="9"/>
            <color indexed="81"/>
            <rFont val="Segoe UI"/>
            <family val="2"/>
          </rPr>
          <t>Desconto: 20/07/2021</t>
        </r>
      </text>
    </comment>
    <comment ref="F76" authorId="0" shapeId="0" xr:uid="{EC5B87B6-751B-41AE-8343-42F837706254}">
      <text>
        <r>
          <rPr>
            <sz val="9"/>
            <color indexed="81"/>
            <rFont val="Tahoma"/>
            <family val="2"/>
          </rPr>
          <t>20/12/2021 - Concluído_x000D_
20/12/2021 - Analisando_x000D_
16/12/2021 - Pendente_x000D_
10/12/2021 - Em análise</t>
        </r>
      </text>
    </comment>
    <comment ref="D77" authorId="0" shapeId="0" xr:uid="{7B29D5F5-B332-4C24-B3D2-F65674A66A83}">
      <text>
        <r>
          <rPr>
            <sz val="9"/>
            <color indexed="81"/>
            <rFont val="Segoe UI"/>
            <family val="2"/>
          </rPr>
          <t>Desconto: 28/10/2021</t>
        </r>
      </text>
    </comment>
    <comment ref="F77" authorId="1" shapeId="0" xr:uid="{09A1876C-1F92-4BFC-9FA6-1CB993303E09}">
      <text>
        <r>
          <rPr>
            <sz val="9"/>
            <color indexed="81"/>
            <rFont val="Tahoma"/>
            <family val="2"/>
          </rPr>
          <t>16/12/2021 - Concluído_x000D_
08/12/2021 - Aguardando PG_x000D_
08/12/2021 - Analisando_x000D_
30/11/2021 - Em análise</t>
        </r>
      </text>
    </comment>
    <comment ref="D78" authorId="0" shapeId="0" xr:uid="{A9FCBBD0-E763-4AE0-829E-8DBD4F50D6FF}">
      <text>
        <r>
          <rPr>
            <sz val="9"/>
            <color indexed="81"/>
            <rFont val="Segoe UI"/>
            <family val="2"/>
          </rPr>
          <t>Desconto: 02/02/2012</t>
        </r>
      </text>
    </comment>
    <comment ref="F78" authorId="1" shapeId="0" xr:uid="{B8C88B63-1DA9-4682-8998-565722C55AE5}">
      <text>
        <r>
          <rPr>
            <sz val="9"/>
            <color indexed="81"/>
            <rFont val="Tahoma"/>
            <family val="2"/>
          </rPr>
          <t>16/12/2021 - Concluído_x000D_
30/11/2021 - Aguardando PG</t>
        </r>
      </text>
    </comment>
    <comment ref="D79" authorId="0" shapeId="0" xr:uid="{1447CD10-90ED-4D66-A7B5-EA7E49C76498}">
      <text>
        <r>
          <rPr>
            <sz val="9"/>
            <color indexed="81"/>
            <rFont val="Segoe UI"/>
            <family val="2"/>
          </rPr>
          <t>Desconto: 23/12/2020</t>
        </r>
      </text>
    </comment>
    <comment ref="F79" authorId="1" shapeId="0" xr:uid="{F96EDEBD-F387-420C-947A-C6AA7F31A75C}">
      <text>
        <r>
          <rPr>
            <sz val="9"/>
            <color indexed="81"/>
            <rFont val="Tahoma"/>
            <family val="2"/>
          </rPr>
          <t>22/02/2022 - Concluído_x000D_
22/02/2022 - Analisando_x000D_
16/02/2022 - Em análise</t>
        </r>
      </text>
    </comment>
    <comment ref="F80" authorId="0" shapeId="0" xr:uid="{C94CEE41-4A82-48D9-B845-EC485C83FA68}">
      <text>
        <r>
          <rPr>
            <sz val="9"/>
            <color indexed="81"/>
            <rFont val="Tahoma"/>
            <family val="2"/>
          </rPr>
          <t>16/12/2021 - Concluído_x000D_
10/12/2021 - Em análise</t>
        </r>
      </text>
    </comment>
    <comment ref="F81" authorId="0" shapeId="0" xr:uid="{ADCD0538-A221-4115-A566-156A3E215A33}">
      <text>
        <r>
          <rPr>
            <sz val="9"/>
            <color indexed="81"/>
            <rFont val="Tahoma"/>
            <family val="2"/>
          </rPr>
          <t>15/02/2022 - Aguardando PG_x000D_
11/02/2022 - Analisando_x000D_
02/02/2022 - Em análise</t>
        </r>
      </text>
    </comment>
    <comment ref="D82" authorId="0" shapeId="0" xr:uid="{4B6E9F76-2521-45F7-82AC-7FAF995B350C}">
      <text>
        <r>
          <rPr>
            <sz val="9"/>
            <color indexed="81"/>
            <rFont val="Segoe UI"/>
            <family val="2"/>
          </rPr>
          <t>Desconto: 05/09/2021</t>
        </r>
      </text>
    </comment>
    <comment ref="F82" authorId="1" shapeId="0" xr:uid="{AFD500FC-82F7-457A-B867-0AE802D050CD}">
      <text>
        <r>
          <rPr>
            <sz val="9"/>
            <color indexed="81"/>
            <rFont val="Tahoma"/>
            <family val="2"/>
          </rPr>
          <t>22/02/2022 - Concluído_x000D_
22/02/2022 - Analisando_x000D_
15/02/2022 - Em análise</t>
        </r>
      </text>
    </comment>
    <comment ref="D83" authorId="0" shapeId="0" xr:uid="{0DBCC53D-0EE4-45C9-9695-DAA6A3579BC9}">
      <text>
        <r>
          <rPr>
            <sz val="9"/>
            <color indexed="81"/>
            <rFont val="Segoe UI"/>
            <family val="2"/>
          </rPr>
          <t>Desconto: 07/01/2021</t>
        </r>
      </text>
    </comment>
    <comment ref="F83" authorId="0" shapeId="0" xr:uid="{0D98E01D-EE33-4234-BF4E-8C6E231AD7F5}">
      <text>
        <r>
          <rPr>
            <sz val="9"/>
            <color indexed="81"/>
            <rFont val="Tahoma"/>
            <family val="2"/>
          </rPr>
          <t>11/02/2022 - Aguardando PG_x000D_
02/02/2022 - Em análise</t>
        </r>
      </text>
    </comment>
    <comment ref="D84" authorId="0" shapeId="0" xr:uid="{2F79D4F7-710A-460B-A866-A1CA7301B07A}">
      <text>
        <r>
          <rPr>
            <sz val="9"/>
            <color indexed="81"/>
            <rFont val="Segoe UI"/>
            <family val="2"/>
          </rPr>
          <t>Desconto: 09/03/2020</t>
        </r>
      </text>
    </comment>
    <comment ref="F84" authorId="0" shapeId="0" xr:uid="{B7B562B2-7CE2-4877-B008-F1EB571A75F0}">
      <text>
        <r>
          <rPr>
            <sz val="9"/>
            <color indexed="81"/>
            <rFont val="Tahoma"/>
            <family val="2"/>
          </rPr>
          <t>16/12/2021 - Concluído_x000D_
10/12/2021 - Em análise</t>
        </r>
      </text>
    </comment>
    <comment ref="F85" authorId="0" shapeId="0" xr:uid="{EC3D526E-920B-436A-8482-EE5668D418EF}">
      <text>
        <r>
          <rPr>
            <sz val="9"/>
            <color indexed="81"/>
            <rFont val="Tahoma"/>
            <family val="2"/>
          </rPr>
          <t>16/12/2021 - Concluído_x000D_
10/12/2021 - Em análise</t>
        </r>
      </text>
    </comment>
    <comment ref="F86" authorId="0" shapeId="0" xr:uid="{4F2DD54F-A925-4E2A-8B95-FBD0DACBE752}">
      <text>
        <r>
          <rPr>
            <sz val="9"/>
            <color indexed="81"/>
            <rFont val="Tahoma"/>
            <family val="2"/>
          </rPr>
          <t>15/02/2022 - Aguardando PG_x000D_
11/02/2022 - Analisando_x000D_
02/02/2022 - Em análise</t>
        </r>
      </text>
    </comment>
    <comment ref="D87" authorId="0" shapeId="0" xr:uid="{02815D29-CCE8-4766-8335-E268C5B22D58}">
      <text>
        <r>
          <rPr>
            <sz val="9"/>
            <color indexed="81"/>
            <rFont val="Segoe UI"/>
            <family val="2"/>
          </rPr>
          <t>Desconto: 18/12/2021</t>
        </r>
      </text>
    </comment>
    <comment ref="F87" authorId="0" shapeId="0" xr:uid="{05307702-8A53-4A76-8EFB-BFB9A9FCACBF}">
      <text>
        <r>
          <rPr>
            <sz val="9"/>
            <color indexed="81"/>
            <rFont val="Tahoma"/>
            <family val="2"/>
          </rPr>
          <t>16/12/2021 - Concluído_x000D_
10/12/2021 - Aguardando PG_x000D_
02/12/2021 - Em análise</t>
        </r>
      </text>
    </comment>
    <comment ref="F88" authorId="1" shapeId="0" xr:uid="{66F85A86-0ADC-416B-8E23-4D54C4A08D66}">
      <text>
        <r>
          <rPr>
            <sz val="9"/>
            <color indexed="81"/>
            <rFont val="Tahoma"/>
            <family val="2"/>
          </rPr>
          <t>14/12/2021 - Concluído_x000D_
10/12/2021 - Aguardando PG_x000D_
10/12/2021 - Analisando_x000D_
30/11/2021 - Em análise</t>
        </r>
      </text>
    </comment>
    <comment ref="D89" authorId="0" shapeId="0" xr:uid="{B72A161B-3806-4958-9CA5-49F80CF80D9F}">
      <text>
        <r>
          <rPr>
            <sz val="9"/>
            <color indexed="81"/>
            <rFont val="Segoe UI"/>
            <family val="2"/>
          </rPr>
          <t>Desconto: 15/04/2021</t>
        </r>
      </text>
    </comment>
    <comment ref="F89" authorId="0" shapeId="0" xr:uid="{0D5CB739-4953-40EC-A068-3685E9C90CF9}">
      <text>
        <r>
          <rPr>
            <sz val="9"/>
            <color indexed="81"/>
            <rFont val="Tahoma"/>
            <family val="2"/>
          </rPr>
          <t>15/02/2022 - Aguardando PG_x000D_
11/02/2022 - Analisando_x000D_
02/02/2022 - Em análise</t>
        </r>
      </text>
    </comment>
    <comment ref="D90" authorId="0" shapeId="0" xr:uid="{2FCE9D59-853B-4024-83DD-98EBF2F99ED8}">
      <text>
        <r>
          <rPr>
            <sz val="9"/>
            <color indexed="81"/>
            <rFont val="Segoe UI"/>
            <family val="2"/>
          </rPr>
          <t>Desconto: 30/11/2021</t>
        </r>
      </text>
    </comment>
    <comment ref="F90" authorId="1" shapeId="0" xr:uid="{51E4DF5F-8742-4A42-83DA-A2AF293EC542}">
      <text>
        <r>
          <rPr>
            <sz val="9"/>
            <color indexed="81"/>
            <rFont val="Tahoma"/>
            <family val="2"/>
          </rPr>
          <t>10/12/2021 - Concluído_x000D_
30/11/2021 - Aguardando PG</t>
        </r>
      </text>
    </comment>
    <comment ref="F91" authorId="0" shapeId="0" xr:uid="{CB771E40-2A0D-4AE6-92FC-221C83516E8A}">
      <text>
        <r>
          <rPr>
            <sz val="9"/>
            <color indexed="81"/>
            <rFont val="Tahoma"/>
            <family val="2"/>
          </rPr>
          <t>11/02/2022 - Aguardando PG_x000D_
11/02/2022 - Analisando_x000D_
02/02/2022 - Em análise</t>
        </r>
      </text>
    </comment>
    <comment ref="F92" authorId="1" shapeId="0" xr:uid="{C23113C0-F4A1-4678-9B68-FECC419D1031}">
      <text>
        <r>
          <rPr>
            <sz val="9"/>
            <color indexed="81"/>
            <rFont val="Tahoma"/>
            <family val="2"/>
          </rPr>
          <t>10/12/2021 - Concluído_x000D_
30/11/2021 - Aguardando PG_x000D_
30/11/2021 - Analisando_x000D_
05/11/2021 - Em análise</t>
        </r>
      </text>
    </comment>
    <comment ref="F93" authorId="1" shapeId="0" xr:uid="{EE7D7054-9FE0-48DE-9DB9-78DA0CD3C19B}">
      <text>
        <r>
          <rPr>
            <sz val="9"/>
            <color indexed="81"/>
            <rFont val="Tahoma"/>
            <family val="2"/>
          </rPr>
          <t>15/02/2022 - Aguardando PG_x000D_
15/02/2022 - Analisando_x000D_
08/02/2022 - Em análise</t>
        </r>
      </text>
    </comment>
    <comment ref="D94" authorId="0" shapeId="0" xr:uid="{A069880F-6891-4FE9-BF16-11333A8C9831}">
      <text>
        <r>
          <rPr>
            <sz val="9"/>
            <color indexed="81"/>
            <rFont val="Segoe UI"/>
            <family val="2"/>
          </rPr>
          <t>Desconto: 15/02/2022</t>
        </r>
      </text>
    </comment>
    <comment ref="F94" authorId="0" shapeId="0" xr:uid="{C39A92C4-DDC6-4B10-A813-6F4ABD7AB9E7}">
      <text>
        <r>
          <rPr>
            <sz val="9"/>
            <color indexed="81"/>
            <rFont val="Tahoma"/>
            <family val="2"/>
          </rPr>
          <t>26/02/2022 - Concluído_x000D_
26/02/2022 - Analisando_x000D_
17/02/2022 - Em análise</t>
        </r>
      </text>
    </comment>
    <comment ref="D95" authorId="0" shapeId="0" xr:uid="{671FACE7-B17A-4902-AEAC-72249BE28D80}">
      <text>
        <r>
          <rPr>
            <sz val="9"/>
            <color indexed="81"/>
            <rFont val="Segoe UI"/>
            <family val="2"/>
          </rPr>
          <t>Desconto: 27/08/2021</t>
        </r>
      </text>
    </comment>
    <comment ref="F95" authorId="1" shapeId="0" xr:uid="{A1533E4A-B145-4DC9-B12B-118E45C216D0}">
      <text>
        <r>
          <rPr>
            <sz val="9"/>
            <color indexed="81"/>
            <rFont val="Tahoma"/>
            <family val="2"/>
          </rPr>
          <t>10/12/2021 - Concluído_x000D_
10/12/2021 - Analisando_x000D_
10/12/2021 - Analisando_x000D_
10/12/2021 - Analisando_x000D_
30/11/2021 - Em análise</t>
        </r>
      </text>
    </comment>
    <comment ref="F96" authorId="1" shapeId="0" xr:uid="{56B6914D-84CE-435D-A7DD-EAFF88394C75}">
      <text>
        <r>
          <rPr>
            <sz val="9"/>
            <color indexed="81"/>
            <rFont val="Tahoma"/>
            <family val="2"/>
          </rPr>
          <t>22/02/2022 - Em análise</t>
        </r>
      </text>
    </comment>
    <comment ref="D97" authorId="0" shapeId="0" xr:uid="{53FB53F7-871F-4D3C-A748-F8F0B782C7A9}">
      <text>
        <r>
          <rPr>
            <sz val="9"/>
            <color indexed="81"/>
            <rFont val="Segoe UI"/>
            <family val="2"/>
          </rPr>
          <t>Desconto: 29/07/2021</t>
        </r>
      </text>
    </comment>
    <comment ref="F97" authorId="1" shapeId="0" xr:uid="{C658389B-F06C-4DCE-9EAE-7599E2B20F05}">
      <text>
        <r>
          <rPr>
            <sz val="9"/>
            <color indexed="81"/>
            <rFont val="Tahoma"/>
            <family val="2"/>
          </rPr>
          <t>10/12/2021 - Concluído_x000D_
10/12/2021 - Analisando_x000D_
30/11/2021 - Em análise</t>
        </r>
      </text>
    </comment>
    <comment ref="D98" authorId="0" shapeId="0" xr:uid="{5A34484A-4B5F-4E96-BCAC-2965126BA919}">
      <text>
        <r>
          <rPr>
            <sz val="9"/>
            <color indexed="81"/>
            <rFont val="Segoe UI"/>
            <family val="2"/>
          </rPr>
          <t>Desconto: 11/07/2021</t>
        </r>
      </text>
    </comment>
    <comment ref="F98" authorId="1" shapeId="0" xr:uid="{4834F63F-CD75-455F-8A6A-3666A51C3EAB}">
      <text>
        <r>
          <rPr>
            <sz val="9"/>
            <color indexed="81"/>
            <rFont val="Tahoma"/>
            <family val="2"/>
          </rPr>
          <t>16/02/2022 - Aguardando PG_x000D_
15/02/2022 - Analisando_x000D_
03/02/2022 - Pendente_x000D_
03/02/2022 - Analisando_x000D__x000D_
30/11/2021 - Pendente_x000D_
30/11/2021 - Analisando_x000D_
04/11/2021 - Em análise</t>
        </r>
      </text>
    </comment>
    <comment ref="D99" authorId="0" shapeId="0" xr:uid="{0BFE62F9-6E4F-4462-B591-6B7F0387F953}">
      <text>
        <r>
          <rPr>
            <sz val="9"/>
            <color indexed="81"/>
            <rFont val="Segoe UI"/>
            <family val="2"/>
          </rPr>
          <t>Desconto: 12/06/2021</t>
        </r>
      </text>
    </comment>
    <comment ref="F99" authorId="0" shapeId="0" xr:uid="{A7EFC681-F473-4BF0-BDEC-CEB6464D1B47}">
      <text>
        <r>
          <rPr>
            <sz val="9"/>
            <color indexed="81"/>
            <rFont val="Tahoma"/>
            <family val="2"/>
          </rPr>
          <t>02/03/2022 - Certidão Automática_x000D_
17/02/2022 - Aguardando PG_x000D_
17/02/2022 - Analisando_x000D_
15/02/2022 - Em análise</t>
        </r>
      </text>
    </comment>
    <comment ref="D100" authorId="0" shapeId="0" xr:uid="{6FF4C9FE-BC54-4DF5-B39D-8CE089BB95BA}">
      <text>
        <r>
          <rPr>
            <sz val="9"/>
            <color indexed="81"/>
            <rFont val="Segoe UI"/>
            <family val="2"/>
          </rPr>
          <t>Desconto: 15/01/2022</t>
        </r>
      </text>
    </comment>
    <comment ref="F100" authorId="1" shapeId="0" xr:uid="{D99905D4-2F4F-4FF4-BA77-D80C5497DF73}">
      <text>
        <r>
          <rPr>
            <sz val="9"/>
            <color indexed="81"/>
            <rFont val="Tahoma"/>
            <family val="2"/>
          </rPr>
          <t>22/02/2022 - Certidão Automática_x000D_
22/02/2022 - Analisando_x000D_
19/02/2022 - Aguardando PG_x000D_
15/02/2022 - Pendente_x000D_
08/02/2022 - Pendente_x000D_
10/12/2021 - Pendente_x000D_
10/12/2021 - Analisando_x000D_
30/11/2021 - Em análise</t>
        </r>
      </text>
    </comment>
    <comment ref="D101" authorId="0" shapeId="0" xr:uid="{A442B2E1-3790-4E8D-9BFA-6DFD31F44A4C}">
      <text>
        <r>
          <rPr>
            <sz val="9"/>
            <color indexed="81"/>
            <rFont val="Segoe UI"/>
            <family val="2"/>
          </rPr>
          <t>Desconto: 03/09/2021</t>
        </r>
      </text>
    </comment>
    <comment ref="F101" authorId="1" shapeId="0" xr:uid="{FD4B186A-9312-4840-9BE2-AF9571425DB7}">
      <text>
        <r>
          <rPr>
            <sz val="9"/>
            <color indexed="81"/>
            <rFont val="Tahoma"/>
            <family val="2"/>
          </rPr>
          <t>15/02/2022 - DF-Avaliação_x000D_
15/02/2022 - Analisando</t>
        </r>
      </text>
    </comment>
    <comment ref="D102" authorId="0" shapeId="0" xr:uid="{186BA503-BD93-4878-9E19-16B32D86ECFA}">
      <text>
        <r>
          <rPr>
            <sz val="9"/>
            <color indexed="81"/>
            <rFont val="Segoe UI"/>
            <family val="2"/>
          </rPr>
          <t>Desconto: 22/04/2022</t>
        </r>
      </text>
    </comment>
    <comment ref="F102" authorId="0" shapeId="0" xr:uid="{417DA0BB-1F61-4D54-94C5-1D7034FD6B46}">
      <text>
        <r>
          <rPr>
            <sz val="9"/>
            <color indexed="81"/>
            <rFont val="Tahoma"/>
            <family val="2"/>
          </rPr>
          <t>26/02/2022 - Concluído_x000D_
26/02/2022 - Analisando_x000D_
22/02/2022 - Pendente_x000D_
15/02/2022 - Em análise</t>
        </r>
      </text>
    </comment>
    <comment ref="F103" authorId="0" shapeId="0" xr:uid="{BCE5DB09-0BBE-4867-9440-763A86A24ACE}">
      <text>
        <r>
          <rPr>
            <sz val="9"/>
            <color indexed="81"/>
            <rFont val="Tahoma"/>
            <family val="2"/>
          </rPr>
          <t>10/12/2021 - Concluído_x000D_
10/12/2021 - Aguardando PG_x000D_
10/12/2021 - Em análise</t>
        </r>
      </text>
    </comment>
    <comment ref="D104" authorId="0" shapeId="0" xr:uid="{64604C77-D571-4C08-AF96-C7C299659B5E}">
      <text>
        <r>
          <rPr>
            <sz val="9"/>
            <color indexed="81"/>
            <rFont val="Segoe UI"/>
            <family val="2"/>
          </rPr>
          <t>Desconto: 08/12/2017</t>
        </r>
      </text>
    </comment>
    <comment ref="F104" authorId="0" shapeId="0" xr:uid="{ECE85BAE-E4B0-4F76-9A29-D1C0F059E25D}">
      <text>
        <r>
          <rPr>
            <sz val="9"/>
            <color indexed="81"/>
            <rFont val="Tahoma"/>
            <family val="2"/>
          </rPr>
          <t>15/02/2022 - DF-Avaliação_x000D_
11/02/2022 - DF_x000D_
02/02/2022 - Em análise</t>
        </r>
      </text>
    </comment>
    <comment ref="F105" authorId="1" shapeId="0" xr:uid="{01DAB4AC-B648-4203-B735-BFF550908A98}">
      <text>
        <r>
          <rPr>
            <sz val="9"/>
            <color indexed="81"/>
            <rFont val="Tahoma"/>
            <family val="2"/>
          </rPr>
          <t>21/02/2022 - Aguardando PG_x000D_
15/02/2022 - Analisando_x000D_
09/02/2022 - Em análise</t>
        </r>
      </text>
    </comment>
    <comment ref="D106" authorId="0" shapeId="0" xr:uid="{BC8341C3-AE93-4058-B43C-D0722C0933F8}">
      <text>
        <r>
          <rPr>
            <sz val="9"/>
            <color indexed="81"/>
            <rFont val="Segoe UI"/>
            <family val="2"/>
          </rPr>
          <t>Desconto: 07/02/2016</t>
        </r>
      </text>
    </comment>
    <comment ref="F106" authorId="1" shapeId="0" xr:uid="{4CF92626-2C73-447C-A0E2-F85C51655AFA}">
      <text>
        <r>
          <rPr>
            <sz val="9"/>
            <color indexed="81"/>
            <rFont val="Tahoma"/>
            <family val="2"/>
          </rPr>
          <t>10/12/2021 - Concluído_x000D_
25/11/2021 - Aguardando PG_x000D_
24/11/2021 - Analisando_x000D_
22/11/2021 - Pendente
17/11/2021 - Em análise</t>
        </r>
      </text>
    </comment>
    <comment ref="F107" authorId="0" shapeId="0" xr:uid="{8ECA89F8-D10D-462D-9DA1-B553EFAD3509}">
      <text>
        <r>
          <rPr>
            <sz val="9"/>
            <color indexed="81"/>
            <rFont val="Tahoma"/>
            <family val="2"/>
          </rPr>
          <t>21/02/2022 - Aguardando PG_x000D_
21/02/2022 - Analisando_x000D_
15/02/2022 - Em análise</t>
        </r>
      </text>
    </comment>
    <comment ref="D108" authorId="0" shapeId="0" xr:uid="{868FF64D-8A1E-498D-8F6A-2FC5FC0DDD2C}">
      <text>
        <r>
          <rPr>
            <sz val="9"/>
            <color indexed="81"/>
            <rFont val="Segoe UI"/>
            <family val="2"/>
          </rPr>
          <t>Desconto: 07/12/2021</t>
        </r>
      </text>
    </comment>
    <comment ref="F108" authorId="1" shapeId="0" xr:uid="{F80936D2-75B5-4D45-9CE7-CD3A264FF1E2}">
      <text>
        <r>
          <rPr>
            <sz val="9"/>
            <color indexed="81"/>
            <rFont val="Tahoma"/>
            <family val="2"/>
          </rPr>
          <t>09/12/2021 - Concluído_x000D_
09/12/2021 - Analisando_x000D_
30/11/2021 - Em análise</t>
        </r>
      </text>
    </comment>
    <comment ref="F109" authorId="0" shapeId="0" xr:uid="{4A313BF1-1B8C-446B-B78E-8F087896C429}">
      <text>
        <r>
          <rPr>
            <sz val="9"/>
            <color indexed="81"/>
            <rFont val="Tahoma"/>
            <family val="2"/>
          </rPr>
          <t>15/02/2022 - Transferido_x000D_
02/02/2022 - Em análise</t>
        </r>
      </text>
    </comment>
    <comment ref="D110" authorId="0" shapeId="0" xr:uid="{162A5B1D-4341-4AB2-BA56-6E3BAD7F761A}">
      <text>
        <r>
          <rPr>
            <sz val="9"/>
            <color indexed="81"/>
            <rFont val="Segoe UI"/>
            <family val="2"/>
          </rPr>
          <t>Desconto: 29/08/2021</t>
        </r>
      </text>
    </comment>
    <comment ref="F110" authorId="1" shapeId="0" xr:uid="{96D93A09-2918-44C2-A2F6-116F06879E28}">
      <text>
        <r>
          <rPr>
            <sz val="9"/>
            <color indexed="81"/>
            <rFont val="Tahoma"/>
            <family val="2"/>
          </rPr>
          <t>09/12/2021 - Concluído_x000D_
09/12/2021 - Analisando_x000D_
30/11/2021 - Em análise</t>
        </r>
      </text>
    </comment>
    <comment ref="D111" authorId="0" shapeId="0" xr:uid="{70C437D0-841B-452D-8931-E76636DAFA7B}">
      <text>
        <r>
          <rPr>
            <sz val="9"/>
            <color indexed="81"/>
            <rFont val="Segoe UI"/>
            <family val="2"/>
          </rPr>
          <t>Desconto: 31/03/1981</t>
        </r>
      </text>
    </comment>
    <comment ref="F111" authorId="1" shapeId="0" xr:uid="{CD65EF3F-E3BE-4223-8C4C-0AB06856144D}">
      <text>
        <r>
          <rPr>
            <sz val="9"/>
            <color indexed="81"/>
            <rFont val="Tahoma"/>
            <family val="2"/>
          </rPr>
          <t>02/03/2022 - Em análise</t>
        </r>
      </text>
    </comment>
    <comment ref="F112" authorId="1" shapeId="0" xr:uid="{16A5CC36-E99A-4C8B-BEE4-70B634581D90}">
      <text>
        <r>
          <rPr>
            <sz val="9"/>
            <color indexed="81"/>
            <rFont val="Tahoma"/>
            <family val="2"/>
          </rPr>
          <t>09/12/2021 - Concluído_x000D_
09/12/2021 - Analisando_x000D_
30/11/2021 - Em análise</t>
        </r>
      </text>
    </comment>
    <comment ref="D113" authorId="0" shapeId="0" xr:uid="{C8963FF7-DDE9-4C8B-94DF-2534D324F324}">
      <text>
        <r>
          <rPr>
            <sz val="9"/>
            <color indexed="81"/>
            <rFont val="Segoe UI"/>
            <family val="2"/>
          </rPr>
          <t>Desconto: 22/01/2019</t>
        </r>
      </text>
    </comment>
    <comment ref="F113" authorId="0" shapeId="0" xr:uid="{1D6485EE-93D7-4E99-BFCC-9E99E50D6580}">
      <text>
        <r>
          <rPr>
            <sz val="9"/>
            <color indexed="81"/>
            <rFont val="Segoe UI"/>
            <family val="2"/>
          </rPr>
          <t>06/12/2021 - Concluído_x000D_
06/12/2021 - Aguardando PG_x000D_
06/12/2021 - Em análise</t>
        </r>
      </text>
    </comment>
    <comment ref="D114" authorId="0" shapeId="0" xr:uid="{EB3A854B-CBAB-4F92-8695-9A5381A1FFC8}">
      <text>
        <r>
          <rPr>
            <sz val="9"/>
            <color indexed="81"/>
            <rFont val="Segoe UI"/>
            <family val="2"/>
          </rPr>
          <t>Desconto: 09/04/2022</t>
        </r>
      </text>
    </comment>
    <comment ref="F114" authorId="1" shapeId="0" xr:uid="{5EED0265-C162-48B6-8029-ECC4BCE47E5C}">
      <text>
        <r>
          <rPr>
            <sz val="9"/>
            <color indexed="81"/>
            <rFont val="Tahoma"/>
            <family val="2"/>
          </rPr>
          <t>26/02/2022 - Concluído_x000D_
24/02/2022 - Analisando_x000D_
16/02/2022 - Em análise</t>
        </r>
      </text>
    </comment>
    <comment ref="F115" authorId="1" shapeId="0" xr:uid="{8822B42A-85BE-4910-8A6D-EBE54A1F58F4}">
      <text>
        <r>
          <rPr>
            <sz val="9"/>
            <color indexed="81"/>
            <rFont val="Tahoma"/>
            <family val="2"/>
          </rPr>
          <t>22/02/2022 - Concluído_x000D_
15/02/2022 - Em análise</t>
        </r>
      </text>
    </comment>
    <comment ref="D116" authorId="0" shapeId="0" xr:uid="{C274A6CD-6747-4360-B4B2-105FBB12E67C}">
      <text>
        <r>
          <rPr>
            <sz val="9"/>
            <color indexed="81"/>
            <rFont val="Segoe UI"/>
            <family val="2"/>
          </rPr>
          <t>Desconto: 19/06/2015</t>
        </r>
      </text>
    </comment>
    <comment ref="F116" authorId="1" shapeId="0" xr:uid="{5879F96E-1CAE-4AD0-94B6-D1936CD050EA}">
      <text>
        <r>
          <rPr>
            <sz val="9"/>
            <color indexed="81"/>
            <rFont val="Tahoma"/>
            <family val="2"/>
          </rPr>
          <t>22/02/2022 - Certidão Automática_x000D_
22/02/2022 - Analisando_x000D_
10/02/2022 - Em análise</t>
        </r>
      </text>
    </comment>
    <comment ref="D117" authorId="0" shapeId="0" xr:uid="{B20FC548-5B3C-43D9-8798-689534CB7920}">
      <text>
        <r>
          <rPr>
            <sz val="9"/>
            <color indexed="81"/>
            <rFont val="Segoe UI"/>
            <family val="2"/>
          </rPr>
          <t>Desconto: 26/07/2018</t>
        </r>
      </text>
    </comment>
    <comment ref="F117" authorId="1" shapeId="0" xr:uid="{79A8A1BE-C6D4-4430-829C-769E0C9786BD}">
      <text>
        <r>
          <rPr>
            <sz val="9"/>
            <color indexed="81"/>
            <rFont val="Tahoma"/>
            <family val="2"/>
          </rPr>
          <t>22/02/2022 - Transferido_x000D_
22/02/2022 - Analisando_x000D_
10/02/2022 - Em análise</t>
        </r>
      </text>
    </comment>
    <comment ref="D118" authorId="0" shapeId="0" xr:uid="{90CBCB2C-3124-48A1-B63D-0D9B1D480EE2}">
      <text>
        <r>
          <rPr>
            <sz val="9"/>
            <color indexed="81"/>
            <rFont val="Segoe UI"/>
            <family val="2"/>
          </rPr>
          <t>Desconto: 30/04/2018</t>
        </r>
      </text>
    </comment>
    <comment ref="F118" authorId="1" shapeId="0" xr:uid="{BF1A3D96-74A9-452A-9267-16026E000E78}">
      <text>
        <r>
          <rPr>
            <sz val="9"/>
            <color indexed="81"/>
            <rFont val="Tahoma"/>
            <family val="2"/>
          </rPr>
          <t>22/02/2022 - Transferido_x000D_
08/02/2022 - Em análise</t>
        </r>
      </text>
    </comment>
    <comment ref="F119" authorId="1" shapeId="0" xr:uid="{3499F98B-CF4C-4171-8F93-DE9AE4067547}">
      <text>
        <r>
          <rPr>
            <sz val="9"/>
            <color indexed="81"/>
            <rFont val="Tahoma"/>
            <family val="2"/>
          </rPr>
          <t>16/02/2022 - Transferido_x000D_
08/02/2022 - Em análise</t>
        </r>
      </text>
    </comment>
    <comment ref="D120" authorId="0" shapeId="0" xr:uid="{7F5FF831-5B0E-4503-9FD4-0684C8B73E3C}">
      <text>
        <r>
          <rPr>
            <sz val="9"/>
            <color indexed="81"/>
            <rFont val="Segoe UI"/>
            <family val="2"/>
          </rPr>
          <t>Desconto: 27/11/2021</t>
        </r>
      </text>
    </comment>
    <comment ref="F120" authorId="1" shapeId="0" xr:uid="{C1349C7F-D091-452C-A61E-66D97B80F7EE}">
      <text>
        <r>
          <rPr>
            <sz val="9"/>
            <color indexed="81"/>
            <rFont val="Tahoma"/>
            <family val="2"/>
          </rPr>
          <t>30/11/2021 - Concluído_x000D_
30/11/2021 - Analisando_x000D_
30/11/2021 - Em análise</t>
        </r>
      </text>
    </comment>
    <comment ref="D121" authorId="0" shapeId="0" xr:uid="{3D844057-6A86-4702-86C9-F5D1949D7B23}">
      <text>
        <r>
          <rPr>
            <sz val="9"/>
            <color indexed="81"/>
            <rFont val="Segoe UI"/>
            <family val="2"/>
          </rPr>
          <t>Desconto: 22/03/2019</t>
        </r>
      </text>
    </comment>
    <comment ref="F121" authorId="0" shapeId="0" xr:uid="{E08D4EB3-714C-4ECC-AABC-C88C4F4C166C}">
      <text>
        <r>
          <rPr>
            <sz val="9"/>
            <color indexed="81"/>
            <rFont val="Tahoma"/>
            <family val="2"/>
          </rPr>
          <t>26/02/2022 - Certidão Automática_x000D_
26/02/2022 - Analisando_x000D_
16/02/2022 - Pendente_x000D_
16/02/2022 - Analisando_x000D_
14/02/2022 - Em análise</t>
        </r>
      </text>
    </comment>
    <comment ref="D122" authorId="0" shapeId="0" xr:uid="{D4181461-05CE-4BD4-AF40-7B227F8C70E8}">
      <text>
        <r>
          <rPr>
            <sz val="9"/>
            <color indexed="81"/>
            <rFont val="Segoe UI"/>
            <family val="2"/>
          </rPr>
          <t>Desconto: 20/10/2021</t>
        </r>
      </text>
    </comment>
    <comment ref="F122" authorId="1" shapeId="0" xr:uid="{632F1620-6BE4-4886-AB97-1FE830A5ACBD}">
      <text>
        <r>
          <rPr>
            <sz val="9"/>
            <color indexed="81"/>
            <rFont val="Tahoma"/>
            <family val="2"/>
          </rPr>
          <t>09/12/2021 - Pendente_x000D_
09/12/2021 - Analisando_x000D_
30/11/2021 - Em análise</t>
        </r>
      </text>
    </comment>
    <comment ref="D123" authorId="0" shapeId="0" xr:uid="{6983D628-DC7F-4535-A776-6BF649FE3D2F}">
      <text>
        <r>
          <rPr>
            <sz val="9"/>
            <color indexed="81"/>
            <rFont val="Segoe UI"/>
            <family val="2"/>
          </rPr>
          <t>Desconto: 20/11/2005</t>
        </r>
      </text>
    </comment>
    <comment ref="F123" authorId="0" shapeId="0" xr:uid="{9D68BDEF-C1E8-40BA-A858-5ECA3ADB9115}">
      <text>
        <r>
          <rPr>
            <sz val="9"/>
            <color indexed="81"/>
            <rFont val="Tahoma"/>
            <family val="2"/>
          </rPr>
          <t>04/03/2022 - Certidão Automática_x000D_
22/02/2022 - Pendente_x000D_
22/02/2022 - Analisando_x000D_
14/02/2022 - Em análise</t>
        </r>
      </text>
    </comment>
    <comment ref="D124" authorId="0" shapeId="0" xr:uid="{79F551A8-0A2B-4532-A7E9-E10C8FF93F43}">
      <text>
        <r>
          <rPr>
            <sz val="9"/>
            <color indexed="81"/>
            <rFont val="Segoe UI"/>
            <family val="2"/>
          </rPr>
          <t>Desconto: 25/07/2021</t>
        </r>
      </text>
    </comment>
    <comment ref="D125" authorId="0" shapeId="0" xr:uid="{484C0C6A-B827-4DD0-B42A-823DAE116F8E}">
      <text>
        <r>
          <rPr>
            <sz val="9"/>
            <color indexed="81"/>
            <rFont val="Segoe UI"/>
            <family val="2"/>
          </rPr>
          <t>Desconto: 01/09/2021</t>
        </r>
      </text>
    </comment>
    <comment ref="F125" authorId="1" shapeId="0" xr:uid="{8CE3BC2E-FFD1-4ED0-BB94-23F2A9340DBC}">
      <text>
        <r>
          <rPr>
            <sz val="9"/>
            <color indexed="81"/>
            <rFont val="Tahoma"/>
            <family val="2"/>
          </rPr>
          <t>30/11/2021 - Pendente_x000D_
30/11/2021 - Analisando_x000D_
04/11/2021 - Em análise</t>
        </r>
      </text>
    </comment>
    <comment ref="D126" authorId="0" shapeId="0" xr:uid="{636AD645-D525-4233-A2B6-384C57979B80}">
      <text>
        <r>
          <rPr>
            <sz val="9"/>
            <color indexed="81"/>
            <rFont val="Segoe UI"/>
            <family val="2"/>
          </rPr>
          <t>Desconto: 30/01/2022</t>
        </r>
      </text>
    </comment>
    <comment ref="F126" authorId="1" shapeId="0" xr:uid="{9C51763B-D93B-4A85-808F-322C4B9EBDA4}">
      <text>
        <r>
          <rPr>
            <sz val="9"/>
            <color indexed="81"/>
            <rFont val="Tahoma"/>
            <family val="2"/>
          </rPr>
          <t>25/02/2022 - Certidão Automática_x000D_
25/02/2022 - Analisando_x000D_
15/02/2022 - DF_x000D_
15/02/2022 - DF_x000D_
15/02/2022 - DF_x000D_
15/02/2022 - Analisando_x000D_
08/02/2022 - Em análise</t>
        </r>
      </text>
    </comment>
    <comment ref="D127" authorId="0" shapeId="0" xr:uid="{7AB7F2AF-B969-4258-A99E-0BAA2EC2ECDF}">
      <text>
        <r>
          <rPr>
            <sz val="9"/>
            <color indexed="81"/>
            <rFont val="Segoe UI"/>
            <family val="2"/>
          </rPr>
          <t>Desconto: 04/09/2018</t>
        </r>
      </text>
    </comment>
    <comment ref="F127" authorId="0" shapeId="0" xr:uid="{D8D72132-FD07-4778-A211-6B04BD74A94F}">
      <text>
        <r>
          <rPr>
            <sz val="9"/>
            <color indexed="81"/>
            <rFont val="Tahoma"/>
            <family val="2"/>
          </rPr>
          <t>26/02/2022 - Certidão Automática_x000D_
26/02/2022 - Analisando_x000D_
22/02/2022 - Avaliação outra AF_x000D_
22/02/2022 - Analisando_x000D_
14/02/2022 - Em análise</t>
        </r>
      </text>
    </comment>
    <comment ref="D128" authorId="0" shapeId="0" xr:uid="{90D6EE9A-6BE0-4E65-95C1-174CE81ACBEA}">
      <text>
        <r>
          <rPr>
            <sz val="9"/>
            <color indexed="81"/>
            <rFont val="Segoe UI"/>
            <family val="2"/>
          </rPr>
          <t>Desconto: 25/10/2019</t>
        </r>
      </text>
    </comment>
    <comment ref="F128" authorId="1" shapeId="0" xr:uid="{AE95E55C-1398-4277-B03F-2483DF177013}">
      <text>
        <r>
          <rPr>
            <sz val="9"/>
            <color indexed="81"/>
            <rFont val="Tahoma"/>
            <family val="2"/>
          </rPr>
          <t>08/02/2022 - Pendente_x000D_
22/12/2021 - Pendente_x000D_
22/12/2021 - Analisando_x000D_
13/12/2021 - Em análise</t>
        </r>
      </text>
    </comment>
    <comment ref="D129" authorId="0" shapeId="0" xr:uid="{A6633700-948E-4541-9E9C-9ADE32A4E4C2}">
      <text>
        <r>
          <rPr>
            <sz val="9"/>
            <color indexed="81"/>
            <rFont val="Segoe UI"/>
            <family val="2"/>
          </rPr>
          <t>Desconto: 23/02/2020</t>
        </r>
      </text>
    </comment>
    <comment ref="F129" authorId="1" shapeId="0" xr:uid="{B336BC90-B405-470D-9B1D-A099B61FAE3E}">
      <text>
        <r>
          <rPr>
            <sz val="9"/>
            <color indexed="81"/>
            <rFont val="Tahoma"/>
            <family val="2"/>
          </rPr>
          <t>26/02/2022 - Pendente_x000D_
26/02/2022 - Analisando_x000D_
22/02/2022 - Em análise</t>
        </r>
      </text>
    </comment>
    <comment ref="F130" authorId="1" shapeId="0" xr:uid="{E2660435-ACC3-4864-AB6C-250FAE9AAE86}">
      <text>
        <r>
          <rPr>
            <sz val="9"/>
            <color indexed="81"/>
            <rFont val="Tahoma"/>
            <family val="2"/>
          </rPr>
          <t>16/02/2022 - Pendente_x000D_
08/02/2022 - Em análise</t>
        </r>
      </text>
    </comment>
    <comment ref="D131" authorId="0" shapeId="0" xr:uid="{6CE095B2-0B83-4B1A-AF9A-382A23C53842}">
      <text>
        <r>
          <rPr>
            <sz val="9"/>
            <color indexed="81"/>
            <rFont val="Segoe UI"/>
            <family val="2"/>
          </rPr>
          <t>Desconto: 03/03/2020</t>
        </r>
      </text>
    </comment>
    <comment ref="F131" authorId="1" shapeId="0" xr:uid="{A3D1E9AC-CF73-4FBA-9548-11D0A945E306}">
      <text>
        <r>
          <rPr>
            <sz val="9"/>
            <color indexed="81"/>
            <rFont val="Tahoma"/>
            <family val="2"/>
          </rPr>
          <t>26/02/2022 - Certidão Automática_x000D_
26/02/2022 - Analisando_x000D_
22/02/2022 - Em análise</t>
        </r>
      </text>
    </comment>
    <comment ref="D132" authorId="0" shapeId="0" xr:uid="{74030678-071A-4E52-8C39-E3C2CF9330A5}">
      <text>
        <r>
          <rPr>
            <sz val="9"/>
            <color indexed="81"/>
            <rFont val="Segoe UI"/>
            <family val="2"/>
          </rPr>
          <t>Desconto: 06/07/2020</t>
        </r>
      </text>
    </comment>
    <comment ref="F132" authorId="1" shapeId="0" xr:uid="{7D4AFC07-2BC7-4D17-927D-113D24F85BCA}">
      <text>
        <r>
          <rPr>
            <sz val="9"/>
            <color indexed="81"/>
            <rFont val="Tahoma"/>
            <family val="2"/>
          </rPr>
          <t>26/02/2022 - Pendente_x000D_
26/02/2022 - Analisando_x000D_
22/02/2022 - Em análise</t>
        </r>
      </text>
    </comment>
    <comment ref="F133" authorId="1" shapeId="0" xr:uid="{93814343-4110-459F-A6C9-8B9885DA2541}">
      <text>
        <r>
          <rPr>
            <sz val="9"/>
            <color indexed="81"/>
            <rFont val="Tahoma"/>
            <family val="2"/>
          </rPr>
          <t>22/02/2022 - Concluído_x000D_
22/02/2022 - Analisando_x000D_
17/02/2022 - Em análise</t>
        </r>
      </text>
    </comment>
    <comment ref="D134" authorId="0" shapeId="0" xr:uid="{839E4AA5-B006-4D53-9931-20B48C7D2ED0}">
      <text>
        <r>
          <rPr>
            <sz val="9"/>
            <color indexed="81"/>
            <rFont val="Segoe UI"/>
            <family val="2"/>
          </rPr>
          <t>Desconto: 06/08/2020</t>
        </r>
      </text>
    </comment>
    <comment ref="F134" authorId="0" shapeId="0" xr:uid="{B684961C-7559-46CF-94A5-AAB09293006C}">
      <text>
        <r>
          <rPr>
            <sz val="9"/>
            <color indexed="81"/>
            <rFont val="Tahoma"/>
            <family val="2"/>
          </rPr>
          <t>26/02/2022 - Pendente_x000D_
17/02/2022 - Analisando</t>
        </r>
      </text>
    </comment>
    <comment ref="D135" authorId="0" shapeId="0" xr:uid="{09A8D487-EE50-48FE-B2AF-45CBFBF031C0}">
      <text>
        <r>
          <rPr>
            <sz val="9"/>
            <color indexed="81"/>
            <rFont val="Segoe UI"/>
            <family val="2"/>
          </rPr>
          <t>Desconto: 16/08/2021</t>
        </r>
      </text>
    </comment>
    <comment ref="F135" authorId="1" shapeId="0" xr:uid="{F2AEC4A8-6AF2-4C18-B498-A97E0EBD59A2}">
      <text>
        <r>
          <rPr>
            <sz val="9"/>
            <color indexed="81"/>
            <rFont val="Tahoma"/>
            <family val="2"/>
          </rPr>
          <t>30/11/2021 - Concluído_x000D_
30/11/2021 - Analisando_x000D_
06/11/2021 - Em análise</t>
        </r>
      </text>
    </comment>
    <comment ref="D137" authorId="0" shapeId="0" xr:uid="{3B050376-AAAE-4784-A05C-AD4162524FDB}">
      <text>
        <r>
          <rPr>
            <sz val="9"/>
            <color indexed="81"/>
            <rFont val="Segoe UI"/>
            <family val="2"/>
          </rPr>
          <t>Desconto: 23/01/2021</t>
        </r>
      </text>
    </comment>
    <comment ref="F137" authorId="0" shapeId="0" xr:uid="{7BCE4DB7-AF37-4797-A045-1FD165119428}">
      <text>
        <r>
          <rPr>
            <sz val="9"/>
            <color indexed="81"/>
            <rFont val="Tahoma"/>
            <family val="2"/>
          </rPr>
          <t>22/02/2022 - Certidão Automática_x000D_
22/02/2022 - Analisando_x000D_
15/02/2022 - Em análise</t>
        </r>
      </text>
    </comment>
    <comment ref="D138" authorId="0" shapeId="0" xr:uid="{EDDC139E-ECAB-4A83-8A13-9C1482C54E4F}">
      <text>
        <r>
          <rPr>
            <sz val="9"/>
            <color indexed="81"/>
            <rFont val="Segoe UI"/>
            <family val="2"/>
          </rPr>
          <t>Desconto: 16/05/2021</t>
        </r>
      </text>
    </comment>
    <comment ref="F138" authorId="1" shapeId="0" xr:uid="{61123192-9EA2-449E-8F08-93A99094105C}">
      <text>
        <r>
          <rPr>
            <sz val="9"/>
            <color indexed="81"/>
            <rFont val="Tahoma"/>
            <family val="2"/>
          </rPr>
          <t>26/02/2022 - Certidão Automática_x000D_
26/02/2022 - Analisando_x000D_
26/02/2022 - Em análise</t>
        </r>
      </text>
    </comment>
    <comment ref="D139" authorId="0" shapeId="0" xr:uid="{AD4C6C7E-4DA1-4BBF-A745-680378B7AA1D}">
      <text>
        <r>
          <rPr>
            <sz val="9"/>
            <color indexed="81"/>
            <rFont val="Segoe UI"/>
            <family val="2"/>
          </rPr>
          <t>Desconto: 18/05/2021</t>
        </r>
      </text>
    </comment>
    <comment ref="F139" authorId="1" shapeId="0" xr:uid="{5F7343F3-0D4A-4593-8745-490823F3FD62}">
      <text>
        <r>
          <rPr>
            <sz val="9"/>
            <color indexed="81"/>
            <rFont val="Tahoma"/>
            <family val="2"/>
          </rPr>
          <t>26/02/2022 - Pendente_x000D_
26/02/2022 - Analisando_x000D_
22/02/2022 - Em análise</t>
        </r>
      </text>
    </comment>
    <comment ref="D140" authorId="0" shapeId="0" xr:uid="{3636D4FD-FE72-45A8-B7E1-0A15A56F916C}">
      <text>
        <r>
          <rPr>
            <sz val="9"/>
            <color indexed="81"/>
            <rFont val="Segoe UI"/>
            <family val="2"/>
          </rPr>
          <t>Desconto: 16/12/2021</t>
        </r>
      </text>
    </comment>
    <comment ref="F140" authorId="1" shapeId="0" xr:uid="{094DBA74-162A-4458-87CA-CCEBA3CC5FAE}">
      <text>
        <r>
          <rPr>
            <sz val="9"/>
            <color indexed="81"/>
            <rFont val="Tahoma"/>
            <family val="2"/>
          </rPr>
          <t>09/02/2022 - Pendente_x000D_
23/12/2021 - Pendente_x000D_
20/12/2021 - Em análise</t>
        </r>
      </text>
    </comment>
    <comment ref="D141" authorId="0" shapeId="0" xr:uid="{84FD8B84-1709-4181-B923-4C8A92717407}">
      <text>
        <r>
          <rPr>
            <sz val="9"/>
            <color indexed="81"/>
            <rFont val="Segoe UI"/>
            <family val="2"/>
          </rPr>
          <t>Desconto: 01/09/2021</t>
        </r>
      </text>
    </comment>
    <comment ref="F141" authorId="0" shapeId="0" xr:uid="{01DBC6A4-D085-4F31-82A1-AC393D3FC165}">
      <text>
        <r>
          <rPr>
            <sz val="9"/>
            <color indexed="81"/>
            <rFont val="Tahoma"/>
            <family val="2"/>
          </rPr>
          <t>11/02/2022 - Pendente_x000D_
11/02/2022 - Analisando_x000D_
02/02/2022 - Em análise</t>
        </r>
      </text>
    </comment>
    <comment ref="F142" authorId="1" shapeId="0" xr:uid="{4E1DAAC8-E462-4740-8E1D-4DADE7D156DD}">
      <text>
        <r>
          <rPr>
            <sz val="9"/>
            <color indexed="81"/>
            <rFont val="Tahoma"/>
            <family val="2"/>
          </rPr>
          <t>22/02/2022 - Concluído_x000D_
22/02/2022 - Analisando_x000D_
21/02/2022 - Em análise</t>
        </r>
      </text>
    </comment>
    <comment ref="D143" authorId="0" shapeId="0" xr:uid="{A547221C-67B4-4C7D-BEC6-40D48D4D491E}">
      <text>
        <r>
          <rPr>
            <sz val="9"/>
            <color indexed="81"/>
            <rFont val="Segoe UI"/>
            <family val="2"/>
          </rPr>
          <t>Desconto: 04/06/2021</t>
        </r>
      </text>
    </comment>
    <comment ref="D144" authorId="0" shapeId="0" xr:uid="{23BB60A5-452F-4796-9A79-6F4465F0942E}">
      <text>
        <r>
          <rPr>
            <sz val="9"/>
            <color indexed="81"/>
            <rFont val="Segoe UI"/>
            <family val="2"/>
          </rPr>
          <t>Desconto: 17/09/2021</t>
        </r>
      </text>
    </comment>
    <comment ref="F144" authorId="1" shapeId="0" xr:uid="{D8D2FD35-BD53-4E8A-9D20-5DCB9DA9A4A2}">
      <text>
        <r>
          <rPr>
            <sz val="9"/>
            <color indexed="81"/>
            <rFont val="Tahoma"/>
            <family val="2"/>
          </rPr>
          <t>26/02/2022 - Certidão Automática_x000D_
26/02/2022 - Analisando_x000D_
26/02/2022 - Pendente_x000D_
18/02/2022 - Em análise</t>
        </r>
      </text>
    </comment>
    <comment ref="F145" authorId="1" shapeId="0" xr:uid="{58567028-E572-4CED-9F52-FEAFCD665C89}">
      <text>
        <r>
          <rPr>
            <sz val="9"/>
            <color indexed="81"/>
            <rFont val="Tahoma"/>
            <family val="2"/>
          </rPr>
          <t>15/02/2022 - Transferido_x000D_
15/02/2022 - Em análise</t>
        </r>
      </text>
    </comment>
    <comment ref="D146" authorId="0" shapeId="0" xr:uid="{5C262D20-6E1D-483F-91C1-832E2371AD01}">
      <text>
        <r>
          <rPr>
            <sz val="9"/>
            <color indexed="81"/>
            <rFont val="Segoe UI"/>
            <family val="2"/>
          </rPr>
          <t>Desconto: 10/11/2021</t>
        </r>
      </text>
    </comment>
    <comment ref="F146" authorId="0" shapeId="0" xr:uid="{17F9D0D6-C91E-44B4-891D-0C8A5642F6DB}">
      <text>
        <r>
          <rPr>
            <sz val="9"/>
            <color indexed="81"/>
            <rFont val="Tahoma"/>
            <family val="2"/>
          </rPr>
          <t>22/02/2022 - DF-Avaliação_x000D_
22/02/2022 - Analisando_x000D_
14/02/2022 - Em análise</t>
        </r>
      </text>
    </comment>
    <comment ref="D147" authorId="0" shapeId="0" xr:uid="{CA5862F1-52A6-4667-A3FD-4F8F4B04B641}">
      <text>
        <r>
          <rPr>
            <sz val="9"/>
            <color indexed="81"/>
            <rFont val="Segoe UI"/>
            <family val="2"/>
          </rPr>
          <t>Desconto: 10/10/1998</t>
        </r>
      </text>
    </comment>
    <comment ref="F147" authorId="0" shapeId="0" xr:uid="{73EB0CA9-7D90-4142-AC8E-BAA24E7CBF71}">
      <text>
        <r>
          <rPr>
            <sz val="9"/>
            <color indexed="81"/>
            <rFont val="Segoe UI"/>
            <family val="2"/>
          </rPr>
          <t>07/03/2022 - Em análise</t>
        </r>
      </text>
    </comment>
    <comment ref="D148" authorId="0" shapeId="0" xr:uid="{78BF261B-6A9D-49A0-90CC-110BC1C46519}">
      <text>
        <r>
          <rPr>
            <sz val="9"/>
            <color indexed="81"/>
            <rFont val="Segoe UI"/>
            <family val="2"/>
          </rPr>
          <t>Desconto: 30/12/2021</t>
        </r>
      </text>
    </comment>
    <comment ref="F148" authorId="0" shapeId="0" xr:uid="{DC667405-59D4-460B-B9B7-2277447EA162}">
      <text>
        <r>
          <rPr>
            <sz val="9"/>
            <color indexed="81"/>
            <rFont val="Tahoma"/>
            <family val="2"/>
          </rPr>
          <t>22/02/2022 - Certidão Automática_x000D_
11/02/2022 - Analisando_x000D_
02/02/2022 - Em análise</t>
        </r>
      </text>
    </comment>
    <comment ref="D150" authorId="0" shapeId="0" xr:uid="{8567F5C9-2A5A-45EE-ABB1-1997214C19EB}">
      <text>
        <r>
          <rPr>
            <sz val="9"/>
            <color indexed="81"/>
            <rFont val="Segoe UI"/>
            <family val="2"/>
          </rPr>
          <t>Desconto: 18/04/2021</t>
        </r>
      </text>
    </comment>
    <comment ref="F150" authorId="1" shapeId="0" xr:uid="{F457299B-F2BD-4766-BCD4-D6ED4E6CA964}">
      <text>
        <r>
          <rPr>
            <sz val="9"/>
            <color indexed="81"/>
            <rFont val="Tahoma"/>
            <family val="2"/>
          </rPr>
          <t>08/03/2022 - Pendente_x000D_
15/02/2022 - Pendente_x000D_
08/02/2022 - Em análise</t>
        </r>
      </text>
    </comment>
    <comment ref="D151" authorId="0" shapeId="0" xr:uid="{9EF7B78D-D97F-4822-84DC-5E029A119875}">
      <text>
        <r>
          <rPr>
            <sz val="9"/>
            <color indexed="81"/>
            <rFont val="Segoe UI"/>
            <family val="2"/>
          </rPr>
          <t>Desconto: 27/01/2020</t>
        </r>
      </text>
    </comment>
    <comment ref="F151" authorId="1" shapeId="0" xr:uid="{C69097E5-1A04-48B3-AD20-E8D81B6AD1C8}">
      <text>
        <r>
          <rPr>
            <sz val="9"/>
            <color indexed="81"/>
            <rFont val="Tahoma"/>
            <family val="2"/>
          </rPr>
          <t>15/02/2022 - DF-Avaliação_x000D_
15/02/2022 - DF_x000D_
15/02/2022 - Em análise</t>
        </r>
      </text>
    </comment>
    <comment ref="D152" authorId="0" shapeId="0" xr:uid="{8EEC99D0-57B7-4922-AAD4-6FA589F76DED}">
      <text>
        <r>
          <rPr>
            <sz val="9"/>
            <color indexed="81"/>
            <rFont val="Segoe UI"/>
            <family val="2"/>
          </rPr>
          <t>Desconto: 02/12/2020</t>
        </r>
      </text>
    </comment>
    <comment ref="F152" authorId="1" shapeId="0" xr:uid="{C550D451-6867-4A16-B464-E85602BED3A4}">
      <text>
        <r>
          <rPr>
            <sz val="9"/>
            <color indexed="81"/>
            <rFont val="Tahoma"/>
            <family val="2"/>
          </rPr>
          <t>03/03/2022 - DF-Avaliação_x000D_
26/02/2022 - Pendente_x000D_
26/02/2022 - Analisando_x000D_
16/02/2022 - DF-Avaliação_x000D_
15/02/2022 - Pendente_x000D_
15/02/2022 - Analisando_x000D_
08/02/2022 - Em análise</t>
        </r>
      </text>
    </comment>
    <comment ref="D153" authorId="0" shapeId="0" xr:uid="{3690A02E-74AE-4592-8AE2-E10135052338}">
      <text>
        <r>
          <rPr>
            <sz val="9"/>
            <color indexed="81"/>
            <rFont val="Segoe UI"/>
            <family val="2"/>
          </rPr>
          <t>Desconto: 14/02/2022</t>
        </r>
      </text>
    </comment>
    <comment ref="F153" authorId="1" shapeId="0" xr:uid="{A68EC7BA-EF63-435B-9F04-A22CD3473728}">
      <text>
        <r>
          <rPr>
            <sz val="9"/>
            <color indexed="81"/>
            <rFont val="Tahoma"/>
            <family val="2"/>
          </rPr>
          <t>04/03/2022 - DF-Avaliação_x000D_
04/03/2022 - Analisando_x000D_
21/02/2022 - Pendente_x000D_
21/02/2022 - Analisando_x000D_
16/02/2022 - Em análise</t>
        </r>
      </text>
    </comment>
    <comment ref="D154" authorId="0" shapeId="0" xr:uid="{94ADDE96-185A-4766-9408-6855A9436983}">
      <text>
        <r>
          <rPr>
            <sz val="9"/>
            <color indexed="81"/>
            <rFont val="Segoe UI"/>
            <family val="2"/>
          </rPr>
          <t>Desconto: 21/02/2022</t>
        </r>
      </text>
    </comment>
    <comment ref="F154" authorId="1" shapeId="0" xr:uid="{66F0890E-A8EC-4E7A-98EA-898EF2BFB87C}">
      <text>
        <r>
          <rPr>
            <sz val="9"/>
            <color indexed="81"/>
            <rFont val="Tahoma"/>
            <family val="2"/>
          </rPr>
          <t>22/02/2022 - Certidão Automática_x000D_
22/02/2022 - Analisando_x000D_
15/02/2022 - Pendente_x000D_
15/02/2022 - Em análise</t>
        </r>
      </text>
    </comment>
    <comment ref="D155" authorId="0" shapeId="0" xr:uid="{D2F443FB-1060-4EAA-AC43-02E9B7C8BD71}">
      <text>
        <r>
          <rPr>
            <sz val="9"/>
            <color indexed="81"/>
            <rFont val="Segoe UI"/>
            <family val="2"/>
          </rPr>
          <t>Desconto: 09/12/2020</t>
        </r>
      </text>
    </comment>
    <comment ref="D156" authorId="0" shapeId="0" xr:uid="{EB494D70-11D2-46C1-8725-9B390C2E6204}">
      <text>
        <r>
          <rPr>
            <sz val="9"/>
            <color indexed="81"/>
            <rFont val="Segoe UI"/>
            <family val="2"/>
          </rPr>
          <t>Desconto: 15/11/2021</t>
        </r>
      </text>
    </comment>
    <comment ref="F156" authorId="1" shapeId="0" xr:uid="{DF185E8E-36CE-4289-999D-CCECB0036A96}">
      <text>
        <r>
          <rPr>
            <sz val="9"/>
            <color indexed="81"/>
            <rFont val="Tahoma"/>
            <family val="2"/>
          </rPr>
          <t>08/03/2022 - Pendente_x000D_
26/02/2022 - Pendente_x000D_
26/02/2022 - Analisando_x000D_
22/02/2022 - Em análise</t>
        </r>
      </text>
    </comment>
    <comment ref="D157" authorId="0" shapeId="0" xr:uid="{3C722D82-C312-4D70-B36D-6A72F89ACFAF}">
      <text>
        <r>
          <rPr>
            <sz val="9"/>
            <color indexed="81"/>
            <rFont val="Segoe UI"/>
            <family val="2"/>
          </rPr>
          <t>Desconto: 01/08/2021</t>
        </r>
      </text>
    </comment>
    <comment ref="F157" authorId="0" shapeId="0" xr:uid="{814FFBAF-0389-47BA-8361-98873723C579}">
      <text>
        <r>
          <rPr>
            <sz val="9"/>
            <color indexed="81"/>
            <rFont val="Tahoma"/>
            <family val="2"/>
          </rPr>
          <t>22/02/2022 - Pendente_x000D_
22/02/2022 - Analisando_x000D_
15/02/2022 - Em análise</t>
        </r>
      </text>
    </comment>
    <comment ref="D158" authorId="0" shapeId="0" xr:uid="{41B89D05-F9CE-42EB-B298-41B2D15C4913}">
      <text>
        <r>
          <rPr>
            <sz val="9"/>
            <color indexed="81"/>
            <rFont val="Segoe UI"/>
            <family val="2"/>
          </rPr>
          <t>Desconto: 23/12/2021</t>
        </r>
      </text>
    </comment>
    <comment ref="F158" authorId="1" shapeId="0" xr:uid="{75FD4106-5A73-4633-8A91-7E4513E52890}">
      <text>
        <r>
          <rPr>
            <sz val="9"/>
            <color indexed="81"/>
            <rFont val="Tahoma"/>
            <family val="2"/>
          </rPr>
          <t>16/02/2022 - Pendente_x000D_
16/02/2022 - Analisando_x000D_
08/02/2022 - Em análise</t>
        </r>
      </text>
    </comment>
    <comment ref="F159" authorId="0" shapeId="0" xr:uid="{B5A9CDC3-B4AD-4B4E-B1CC-EC6F1C30DCAA}">
      <text>
        <r>
          <rPr>
            <sz val="9"/>
            <color indexed="81"/>
            <rFont val="Tahoma"/>
            <family val="2"/>
          </rPr>
          <t>04/03/2022 - Cancelado_x000D_
19/02/2022 - Pendente_x000D_
14/02/2022 - Em análise</t>
        </r>
      </text>
    </comment>
    <comment ref="F160" authorId="0" shapeId="0" xr:uid="{9169B88D-02D6-4CF5-B19F-F08E4D0E70CF}">
      <text>
        <r>
          <rPr>
            <sz val="9"/>
            <color indexed="81"/>
            <rFont val="Tahoma"/>
            <family val="2"/>
          </rPr>
          <t>19/02/2022 - Pendente_x000D_
14/02/2022 - Em análise</t>
        </r>
      </text>
    </comment>
    <comment ref="D161" authorId="0" shapeId="0" xr:uid="{6BFEC890-7CAA-4364-93C5-0D4F2D75A039}">
      <text>
        <r>
          <rPr>
            <sz val="9"/>
            <color indexed="81"/>
            <rFont val="Segoe UI"/>
            <family val="2"/>
          </rPr>
          <t>Desconto: 26/08/2017</t>
        </r>
      </text>
    </comment>
    <comment ref="D162" authorId="0" shapeId="0" xr:uid="{FB3E5926-A4F1-450A-A56A-D7E299F19A49}">
      <text>
        <r>
          <rPr>
            <sz val="9"/>
            <color indexed="81"/>
            <rFont val="Segoe UI"/>
            <family val="2"/>
          </rPr>
          <t>Desconto: 25/05/2016</t>
        </r>
      </text>
    </comment>
    <comment ref="F163" authorId="1" shapeId="0" xr:uid="{769DB454-E334-478A-AB81-2A500619FF56}">
      <text>
        <r>
          <rPr>
            <sz val="9"/>
            <color indexed="81"/>
            <rFont val="Tahoma"/>
            <family val="2"/>
          </rPr>
          <t>22/02/2022 - Concluído_x000D_
22/02/2022 - Analisando_x000D_
15/02/2022 - Em análise</t>
        </r>
      </text>
    </comment>
    <comment ref="D164" authorId="0" shapeId="0" xr:uid="{6C05FE1D-69E6-4A18-93B6-29C5F49283E1}">
      <text>
        <r>
          <rPr>
            <sz val="9"/>
            <color indexed="81"/>
            <rFont val="Segoe UI"/>
            <family val="2"/>
          </rPr>
          <t>Desconto: 17/01/2022</t>
        </r>
      </text>
    </comment>
    <comment ref="F164" authorId="0" shapeId="0" xr:uid="{D7F7B454-722E-4252-A36D-775E7F0F44A4}">
      <text>
        <r>
          <rPr>
            <sz val="9"/>
            <color indexed="81"/>
            <rFont val="Tahoma"/>
            <family val="2"/>
          </rPr>
          <t>27/02/2022 - Transferido_x000D_
17/02/2022 - Em análise</t>
        </r>
      </text>
    </comment>
    <comment ref="D165" authorId="0" shapeId="0" xr:uid="{573FF3A2-E7F1-4E49-88D4-1D8DE20B118A}">
      <text>
        <r>
          <rPr>
            <sz val="9"/>
            <color indexed="81"/>
            <rFont val="Segoe UI"/>
            <family val="2"/>
          </rPr>
          <t>Desconto: 29/07/2021</t>
        </r>
      </text>
    </comment>
    <comment ref="F165" authorId="0" shapeId="0" xr:uid="{63EF4728-ECDC-4F80-917C-E68A450AC17B}">
      <text>
        <r>
          <rPr>
            <sz val="9"/>
            <color indexed="81"/>
            <rFont val="Tahoma"/>
            <family val="2"/>
          </rPr>
          <t>17/02/2022 - Transferido_x000D_
15/02/2022 - Em análise</t>
        </r>
      </text>
    </comment>
    <comment ref="D166" authorId="0" shapeId="0" xr:uid="{ABD05E65-65F7-441D-BFFF-50CFEAE4B5E3}">
      <text>
        <r>
          <rPr>
            <sz val="9"/>
            <color indexed="81"/>
            <rFont val="Segoe UI"/>
            <family val="2"/>
          </rPr>
          <t>Desconto: 16/10/2006</t>
        </r>
      </text>
    </comment>
    <comment ref="F167" authorId="0" shapeId="0" xr:uid="{C897E072-3AFE-4C70-8565-7CDC929BDE7B}">
      <text>
        <r>
          <rPr>
            <sz val="9"/>
            <color indexed="81"/>
            <rFont val="Tahoma"/>
            <family val="2"/>
          </rPr>
          <t>19/02/2022 - Pendente_x000D_
15/02/2022 - Em análise</t>
        </r>
      </text>
    </comment>
    <comment ref="F169" authorId="0" shapeId="0" xr:uid="{819AEFED-EC7E-4EB4-A4FC-0C77797793B7}">
      <text>
        <r>
          <rPr>
            <sz val="9"/>
            <color indexed="81"/>
            <rFont val="Tahoma"/>
            <family val="2"/>
          </rPr>
          <t>08/03/2022 - Cancelado_x000D_
19/02/2022 - Pendente_x000D_
14/02/2022 - Em análise</t>
        </r>
      </text>
    </comment>
    <comment ref="D170" authorId="0" shapeId="0" xr:uid="{B022079E-2578-4B4D-BA53-87B38D6D6C79}">
      <text>
        <r>
          <rPr>
            <sz val="9"/>
            <color indexed="81"/>
            <rFont val="Segoe UI"/>
            <family val="2"/>
          </rPr>
          <t>Desconto: 02/09/2008</t>
        </r>
      </text>
    </comment>
    <comment ref="D171" authorId="0" shapeId="0" xr:uid="{7592A603-732D-437C-BB36-87F455D84C19}">
      <text>
        <r>
          <rPr>
            <sz val="9"/>
            <color indexed="81"/>
            <rFont val="Segoe UI"/>
            <family val="2"/>
          </rPr>
          <t>Desconto: 20/03/2009</t>
        </r>
      </text>
    </comment>
    <comment ref="F171" authorId="1" shapeId="0" xr:uid="{69F97CE3-E1F1-4EDF-A752-72ED133006E3}">
      <text>
        <r>
          <rPr>
            <sz val="9"/>
            <color indexed="81"/>
            <rFont val="Tahoma"/>
            <family val="2"/>
          </rPr>
          <t>30/11/2021 - Concluído_x000D_
17/11/2021 - Aguardando PG_x000D_
26/10/2021 - Em análise</t>
        </r>
      </text>
    </comment>
    <comment ref="F172" authorId="1" shapeId="0" xr:uid="{0AE2F59C-27F2-4569-8DF5-4F2B95B16D88}">
      <text>
        <r>
          <rPr>
            <sz val="9"/>
            <color indexed="81"/>
            <rFont val="Tahoma"/>
            <family val="2"/>
          </rPr>
          <t>17/02/2022 - Transferido_x000D_
08/02/2022 - Em análise</t>
        </r>
      </text>
    </comment>
    <comment ref="F173" authorId="1" shapeId="0" xr:uid="{B9B26B6F-E0E8-4A73-BB27-27BC6A64F9F0}">
      <text>
        <r>
          <rPr>
            <sz val="9"/>
            <color indexed="81"/>
            <rFont val="Tahoma"/>
            <family val="2"/>
          </rPr>
          <t>17/02/2022 - Transferido_x000D_
08/02/2022 - Em análise</t>
        </r>
      </text>
    </comment>
    <comment ref="F174" authorId="0" shapeId="0" xr:uid="{3BD399EF-2949-4965-887D-399DB69ADF49}">
      <text>
        <r>
          <rPr>
            <sz val="9"/>
            <color indexed="81"/>
            <rFont val="Tahoma"/>
            <family val="2"/>
          </rPr>
          <t>19/02/2022 - Pendente_x000D_
14/02/2022 - Em análise</t>
        </r>
      </text>
    </comment>
    <comment ref="D175" authorId="0" shapeId="0" xr:uid="{69682805-1F74-487E-914C-605A704E7F6A}">
      <text>
        <r>
          <rPr>
            <sz val="9"/>
            <color indexed="81"/>
            <rFont val="Segoe UI"/>
            <family val="2"/>
          </rPr>
          <t>Desconto: 15/04/2022</t>
        </r>
      </text>
    </comment>
    <comment ref="F175" authorId="1" shapeId="0" xr:uid="{56A8C281-3560-43C6-9D55-B814D90F1D43}">
      <text>
        <r>
          <rPr>
            <sz val="9"/>
            <color indexed="81"/>
            <rFont val="Tahoma"/>
            <family val="2"/>
          </rPr>
          <t>26/02/2022 - Certidão Automática_x000D_
22/02/2022 - Pendente_x000D_
22/02/2022 - Analisando_x000D_
16/02/2022 - Em análise</t>
        </r>
      </text>
    </comment>
    <comment ref="F176" authorId="0" shapeId="0" xr:uid="{5940DADC-D24A-48EF-9B48-C2A6B787A537}">
      <text>
        <r>
          <rPr>
            <sz val="9"/>
            <color indexed="81"/>
            <rFont val="Tahoma"/>
            <family val="2"/>
          </rPr>
          <t>27/02/2022 - Concluído_x000D_
27/02/2022 - Analisando_x000D_
17/02/2022 - Em análise</t>
        </r>
      </text>
    </comment>
    <comment ref="D177" authorId="0" shapeId="0" xr:uid="{101EF895-4EE0-44FE-96AF-99528C5261AE}">
      <text>
        <r>
          <rPr>
            <sz val="9"/>
            <color indexed="81"/>
            <rFont val="Segoe UI"/>
            <family val="2"/>
          </rPr>
          <t>Desconto: 12/09/2014</t>
        </r>
      </text>
    </comment>
    <comment ref="F177" authorId="1" shapeId="0" xr:uid="{D7F16DBD-255F-4F81-9844-D328DD462FCA}">
      <text>
        <r>
          <rPr>
            <sz val="9"/>
            <color indexed="81"/>
            <rFont val="Tahoma"/>
            <family val="2"/>
          </rPr>
          <t>17/02/2022 - Transferido_x000D_
16/02/2022 - Em análise</t>
        </r>
      </text>
    </comment>
    <comment ref="F178" authorId="1" shapeId="0" xr:uid="{DB161803-EFEB-408B-B36F-64D70FF55DA2}">
      <text>
        <r>
          <rPr>
            <sz val="9"/>
            <color indexed="81"/>
            <rFont val="Tahoma"/>
            <family val="2"/>
          </rPr>
          <t>22/02/2022 - Certidão Automática_x000D_
22/02/2022 - Aguardando PG_x000D_
16/02/2022 - Em análise</t>
        </r>
      </text>
    </comment>
    <comment ref="D179" authorId="0" shapeId="0" xr:uid="{49897B24-AE2F-46D6-BB37-ADB769523C84}">
      <text>
        <r>
          <rPr>
            <sz val="9"/>
            <color indexed="81"/>
            <rFont val="Segoe UI"/>
            <family val="2"/>
          </rPr>
          <t>Desconto: 13/01/2022</t>
        </r>
      </text>
    </comment>
    <comment ref="F179" authorId="1" shapeId="0" xr:uid="{CB71B950-D1DB-4EF7-A6BF-080AA55E8280}">
      <text>
        <r>
          <rPr>
            <sz val="9"/>
            <color indexed="81"/>
            <rFont val="Tahoma"/>
            <family val="2"/>
          </rPr>
          <t>17/02/2022 - Pendente_x000D_
17/02/2022 - Analisando_x000D_
16/02/2022 - Em análise</t>
        </r>
      </text>
    </comment>
    <comment ref="F180" authorId="0" shapeId="0" xr:uid="{A7A2813A-9C47-4C0C-BA5B-449FB93743A2}">
      <text>
        <r>
          <rPr>
            <sz val="9"/>
            <color indexed="81"/>
            <rFont val="Tahoma"/>
            <family val="2"/>
          </rPr>
          <t>19/02/2022 - Pendente_x000D_
14/02/2022 - Em análise</t>
        </r>
      </text>
    </comment>
    <comment ref="D181" authorId="0" shapeId="0" xr:uid="{7E4F792E-A860-47DE-8383-D6543AE52883}">
      <text>
        <r>
          <rPr>
            <sz val="9"/>
            <color indexed="81"/>
            <rFont val="Segoe UI"/>
            <family val="2"/>
          </rPr>
          <t>Desconto: 02/03/2022</t>
        </r>
      </text>
    </comment>
    <comment ref="F181" authorId="1" shapeId="0" xr:uid="{4B51368E-6DB5-4AE4-A90C-87247B385D1C}">
      <text>
        <r>
          <rPr>
            <sz val="9"/>
            <color indexed="81"/>
            <rFont val="Tahoma"/>
            <family val="2"/>
          </rPr>
          <t>27/02/2022 - Transferido_x000D_
08/02/2022 - Em análise</t>
        </r>
      </text>
    </comment>
    <comment ref="F182" authorId="0" shapeId="0" xr:uid="{7D9AD906-3367-4BF0-93BB-F6DE60630AAE}">
      <text>
        <r>
          <rPr>
            <sz val="9"/>
            <color indexed="81"/>
            <rFont val="Tahoma"/>
            <family val="2"/>
          </rPr>
          <t>19/02/2022 - Concluído_x000D_
19/02/2022 - Analisando_x000D_
15/02/2022 - Em análise</t>
        </r>
      </text>
    </comment>
    <comment ref="F183" authorId="0" shapeId="0" xr:uid="{A47BF991-B72F-4E37-844B-492F425062E4}">
      <text>
        <r>
          <rPr>
            <sz val="9"/>
            <color indexed="81"/>
            <rFont val="Tahoma"/>
            <family val="2"/>
          </rPr>
          <t>17/02/2022 - Concluído_x000D_
02/02/2022 - Em análise</t>
        </r>
      </text>
    </comment>
    <comment ref="F184" authorId="1" shapeId="0" xr:uid="{C83923B8-798A-4473-BAC0-734552026938}">
      <text>
        <r>
          <rPr>
            <sz val="9"/>
            <color indexed="81"/>
            <rFont val="Tahoma"/>
            <family val="2"/>
          </rPr>
          <t>16/02/2022 - Concluído_x000D_
11/02/2022 - Analisando_x000D_
09/02/2022 - Em análise</t>
        </r>
      </text>
    </comment>
    <comment ref="D185" authorId="0" shapeId="0" xr:uid="{7FEB4EED-CD62-41CC-A971-704D12DF073B}">
      <text>
        <r>
          <rPr>
            <sz val="9"/>
            <color indexed="81"/>
            <rFont val="Segoe UI"/>
            <family val="2"/>
          </rPr>
          <t>Desconto: 14/04/2022</t>
        </r>
      </text>
    </comment>
    <comment ref="F185" authorId="1" shapeId="0" xr:uid="{2EB943BA-5EFC-4FBC-8F2F-4C8B527A4EDD}">
      <text>
        <r>
          <rPr>
            <sz val="9"/>
            <color indexed="81"/>
            <rFont val="Tahoma"/>
            <family val="2"/>
          </rPr>
          <t>26/02/2022 - Certidão Automática_x000D_
26/02/2022 - Analisando_x000D_
21/02/2022 - Em análise</t>
        </r>
      </text>
    </comment>
    <comment ref="D186" authorId="0" shapeId="0" xr:uid="{B353DBF0-8A5B-4021-B262-F341351EF40D}">
      <text>
        <r>
          <rPr>
            <sz val="9"/>
            <color indexed="81"/>
            <rFont val="Segoe UI"/>
            <family val="2"/>
          </rPr>
          <t>Desconto: 15/05/2022</t>
        </r>
      </text>
    </comment>
    <comment ref="F186" authorId="1" shapeId="0" xr:uid="{038CC089-43E5-498F-946C-6F8AB56BEB65}">
      <text>
        <r>
          <rPr>
            <sz val="9"/>
            <color indexed="81"/>
            <rFont val="Tahoma"/>
            <family val="2"/>
          </rPr>
          <t>22/02/2022 - Certidão Automática_x000D_
22/02/2022 - Analisando_x000D_
22/02/2022 - Em análise</t>
        </r>
      </text>
    </comment>
    <comment ref="F187" authorId="0" shapeId="0" xr:uid="{0F536E2E-539D-4983-9EF8-E972C89E5AFA}">
      <text>
        <r>
          <rPr>
            <sz val="9"/>
            <color indexed="81"/>
            <rFont val="Tahoma"/>
            <family val="2"/>
          </rPr>
          <t>19/02/2022 - Pendente_x000D_
19/02/2022 - Analisando_x000D_
15/02/2022 - Em análise</t>
        </r>
      </text>
    </comment>
    <comment ref="D188" authorId="0" shapeId="0" xr:uid="{3B41759D-7AE5-4D6E-A222-BA165611724A}">
      <text>
        <r>
          <rPr>
            <sz val="9"/>
            <color indexed="81"/>
            <rFont val="Segoe UI"/>
            <family val="2"/>
          </rPr>
          <t>Desconto: 28/04/2022</t>
        </r>
      </text>
    </comment>
    <comment ref="F188" authorId="1" shapeId="0" xr:uid="{F2109346-6B1E-4E8D-8E6D-33A7FFDFE390}">
      <text>
        <r>
          <rPr>
            <sz val="9"/>
            <color indexed="81"/>
            <rFont val="Tahoma"/>
            <family val="2"/>
          </rPr>
          <t>26/02/2022 - Pendente_x000D_
24/02/2022 - Pendente_x000D_
24/02/2022 - Analisando_x000D_
16/02/2022 - Em análise</t>
        </r>
      </text>
    </comment>
    <comment ref="D189" authorId="0" shapeId="0" xr:uid="{B801A1EE-BAA8-4F01-8BE5-DC8717891018}">
      <text>
        <r>
          <rPr>
            <sz val="9"/>
            <color indexed="81"/>
            <rFont val="Segoe UI"/>
            <family val="2"/>
          </rPr>
          <t>Desconto: 05/04/2022</t>
        </r>
      </text>
    </comment>
    <comment ref="F189" authorId="1" shapeId="0" xr:uid="{068991FE-7C44-4336-8C83-15101708EB7F}">
      <text>
        <r>
          <rPr>
            <sz val="9"/>
            <color indexed="81"/>
            <rFont val="Tahoma"/>
            <family val="2"/>
          </rPr>
          <t>26/02/2022 - Certidão Automática_x000D_
26/02/2022 - Analisando_x000D_
22/02/2022 - Em análise</t>
        </r>
      </text>
    </comment>
    <comment ref="D190" authorId="0" shapeId="0" xr:uid="{64C2241D-C7F5-497D-8C3F-0D662333F7BB}">
      <text>
        <r>
          <rPr>
            <sz val="9"/>
            <color indexed="81"/>
            <rFont val="Segoe UI"/>
            <family val="2"/>
          </rPr>
          <t>Desconto: 16/05/2008</t>
        </r>
      </text>
    </comment>
    <comment ref="F190" authorId="1" shapeId="0" xr:uid="{B396BC2D-3FAF-4A72-95F1-71401B588B5E}">
      <text>
        <r>
          <rPr>
            <sz val="9"/>
            <color indexed="81"/>
            <rFont val="Tahoma"/>
            <family val="2"/>
          </rPr>
          <t>30/11/2021 - Concluído_x000D_
22/11/2021 - Aguardando PG_x000D_
22/11/2021 - Analisando_x000D_
11/11/2021 - Em análise</t>
        </r>
      </text>
    </comment>
    <comment ref="F191" authorId="1" shapeId="0" xr:uid="{91D0FFFF-DA6B-4ACB-A3BC-937CC356EC46}">
      <text>
        <r>
          <rPr>
            <sz val="9"/>
            <color indexed="81"/>
            <rFont val="Tahoma"/>
            <family val="2"/>
          </rPr>
          <t>07/03/2022 - Concluído_x000D_
27/02/2022 - Aguardando PG_x000D_
27/02/2022 - Analisando_x000D_
15/02/2022 - Em análise</t>
        </r>
      </text>
    </comment>
    <comment ref="F192" authorId="1" shapeId="0" xr:uid="{25467A3F-C3FB-4A2C-9225-7D6B0C58A6B7}">
      <text>
        <r>
          <rPr>
            <sz val="9"/>
            <color indexed="81"/>
            <rFont val="Tahoma"/>
            <family val="2"/>
          </rPr>
          <t>16/02/2022 - Concluído_x000D_
11/02/2022 - Analisando</t>
        </r>
      </text>
    </comment>
    <comment ref="F193" authorId="1" shapeId="0" xr:uid="{36D7AC11-71D5-4651-9F32-51B05D9C72F7}">
      <text>
        <r>
          <rPr>
            <sz val="9"/>
            <color indexed="81"/>
            <rFont val="Tahoma"/>
            <family val="2"/>
          </rPr>
          <t>16/02/2022 - Concluído_x000D_
16/02/2022 - Analisando_x000D_
15/02/2022 - Em análise</t>
        </r>
      </text>
    </comment>
    <comment ref="F194" authorId="0" shapeId="0" xr:uid="{E23C4AA5-DB4D-45B1-A856-BF41EAB4AAFB}">
      <text>
        <r>
          <rPr>
            <sz val="9"/>
            <color indexed="81"/>
            <rFont val="Tahoma"/>
            <family val="2"/>
          </rPr>
          <t>27/02/2022 - Aguardando PG_x000D_
27/02/2022 - Analisando_x000D_
14/02/2022 - Em análise</t>
        </r>
      </text>
    </comment>
    <comment ref="F195" authorId="1" shapeId="0" xr:uid="{57511E03-F8CB-46FF-AC01-A2D683AF9672}">
      <text>
        <r>
          <rPr>
            <sz val="9"/>
            <color indexed="81"/>
            <rFont val="Tahoma"/>
            <family val="2"/>
          </rPr>
          <t>16/02/2022 - Concluído_x000D_
16/02/2022 - Analisando_x000D_
15/02/2022 - Em análise</t>
        </r>
      </text>
    </comment>
    <comment ref="F196" authorId="0" shapeId="0" xr:uid="{A1F64B48-D7A0-419D-BD17-7547DCBB6D2B}">
      <text>
        <r>
          <rPr>
            <sz val="9"/>
            <color indexed="81"/>
            <rFont val="Tahoma"/>
            <family val="2"/>
          </rPr>
          <t>22/02/2022 - Pendente_x000D_
15/02/2022 - Em análise</t>
        </r>
      </text>
    </comment>
    <comment ref="D197" authorId="0" shapeId="0" xr:uid="{F69DE56E-4056-4A99-BFE3-6B97667FBF38}">
      <text>
        <r>
          <rPr>
            <sz val="9"/>
            <color indexed="81"/>
            <rFont val="Segoe UI"/>
            <family val="2"/>
          </rPr>
          <t>Desconto: 11/10/2005</t>
        </r>
      </text>
    </comment>
    <comment ref="F197" authorId="0" shapeId="0" xr:uid="{0006076D-2211-4CD3-BE9F-F1312A3D38A1}">
      <text>
        <r>
          <rPr>
            <sz val="9"/>
            <color indexed="81"/>
            <rFont val="Tahoma"/>
            <family val="2"/>
          </rPr>
          <t>08/03/2022 - Certidão Automática_x000D_
08/03/2022 - Analisando_x000D_
17/02/2022 - Em análise</t>
        </r>
      </text>
    </comment>
    <comment ref="F198" authorId="1" shapeId="0" xr:uid="{F5586E72-09B9-4D32-9ADA-AB210532A1E7}">
      <text>
        <r>
          <rPr>
            <sz val="9"/>
            <color indexed="81"/>
            <rFont val="Tahoma"/>
            <family val="2"/>
          </rPr>
          <t>27/02/2022 - Pendente_x000D_
27/02/2022 - Analisando_x000D_
18/02/2022 - Em análise</t>
        </r>
      </text>
    </comment>
    <comment ref="F199" authorId="1" shapeId="0" xr:uid="{703B13F5-F4BB-4C87-8CDA-FADCBC90D8FE}">
      <text>
        <r>
          <rPr>
            <sz val="9"/>
            <color indexed="81"/>
            <rFont val="Tahoma"/>
            <family val="2"/>
          </rPr>
          <t>04/03/2022 - Concluído_x000D_
27/02/2022 - Pendente_x000D_
27/02/2022 - Analisando_x000D_
18/02/2022 - Em análise</t>
        </r>
      </text>
    </comment>
    <comment ref="D200" authorId="0" shapeId="0" xr:uid="{EF83CFD7-35E7-4A08-A602-CB79AE1A135D}">
      <text>
        <r>
          <rPr>
            <sz val="9"/>
            <color indexed="81"/>
            <rFont val="Segoe UI"/>
            <family val="2"/>
          </rPr>
          <t>Desconto: 30/07/2009</t>
        </r>
      </text>
    </comment>
    <comment ref="F200" authorId="1" shapeId="0" xr:uid="{E5A2520D-C05F-46C5-A8C2-9D08D05EDE47}">
      <text>
        <r>
          <rPr>
            <sz val="9"/>
            <color indexed="81"/>
            <rFont val="Tahoma"/>
            <family val="2"/>
          </rPr>
          <t>02/03/2022 - Em análise</t>
        </r>
      </text>
    </comment>
    <comment ref="D201" authorId="0" shapeId="0" xr:uid="{C88890E9-6A87-4F7E-A74F-5021EA674EEE}">
      <text>
        <r>
          <rPr>
            <sz val="9"/>
            <color indexed="81"/>
            <rFont val="Segoe UI"/>
            <family val="2"/>
          </rPr>
          <t>Desconto: 12/07/2016</t>
        </r>
      </text>
    </comment>
    <comment ref="F201" authorId="1" shapeId="0" xr:uid="{86D6E4EA-9A2C-4FE3-ACD9-18FF9853BF0C}">
      <text>
        <r>
          <rPr>
            <sz val="9"/>
            <color indexed="81"/>
            <rFont val="Tahoma"/>
            <family val="2"/>
          </rPr>
          <t>02/03/2022 - Em análise</t>
        </r>
      </text>
    </comment>
    <comment ref="D202" authorId="0" shapeId="0" xr:uid="{997EB1A9-BE4F-4062-90D9-2F8929E907FE}">
      <text>
        <r>
          <rPr>
            <sz val="9"/>
            <color indexed="81"/>
            <rFont val="Segoe UI"/>
            <family val="2"/>
          </rPr>
          <t>Desconto: 03/05/2017</t>
        </r>
      </text>
    </comment>
    <comment ref="F202" authorId="1" shapeId="0" xr:uid="{0ED04D2A-3532-4820-955E-8DD785AF228C}">
      <text>
        <r>
          <rPr>
            <sz val="9"/>
            <color indexed="81"/>
            <rFont val="Tahoma"/>
            <family val="2"/>
          </rPr>
          <t>02/03/2022 - Em análise</t>
        </r>
      </text>
    </comment>
    <comment ref="D203" authorId="0" shapeId="0" xr:uid="{EF60FF57-0F84-4641-818C-6952D10241A1}">
      <text>
        <r>
          <rPr>
            <sz val="9"/>
            <color indexed="81"/>
            <rFont val="Segoe UI"/>
            <family val="2"/>
          </rPr>
          <t>Desconto: 27/09/2018</t>
        </r>
      </text>
    </comment>
    <comment ref="F203" authorId="0" shapeId="0" xr:uid="{1693E8C9-B0E6-4DD3-8B8C-A2F427CFBA86}">
      <text>
        <r>
          <rPr>
            <sz val="9"/>
            <color indexed="81"/>
            <rFont val="Segoe UI"/>
            <family val="2"/>
          </rPr>
          <t>07/03/2022 - Em análise</t>
        </r>
      </text>
    </comment>
    <comment ref="F204" authorId="1" shapeId="0" xr:uid="{4EE60C56-6EFD-4B5E-84D0-78153B6E983B}">
      <text>
        <r>
          <rPr>
            <sz val="9"/>
            <color indexed="81"/>
            <rFont val="Tahoma"/>
            <family val="2"/>
          </rPr>
          <t>26/02/2022 - Aguardando PG_x000D_
26/02/2022 - Analisando_x000D_
26/02/2022 - Em análise</t>
        </r>
      </text>
    </comment>
    <comment ref="D205" authorId="0" shapeId="0" xr:uid="{26FF46F8-FDC7-44A2-941F-0EB9B8704774}">
      <text>
        <r>
          <rPr>
            <sz val="9"/>
            <color indexed="81"/>
            <rFont val="Segoe UI"/>
            <family val="2"/>
          </rPr>
          <t>Desconto: 16/09/2020</t>
        </r>
      </text>
    </comment>
    <comment ref="F205" authorId="1" shapeId="0" xr:uid="{0B750DF7-F358-4C53-A2B2-89A376A2E711}">
      <text>
        <r>
          <rPr>
            <sz val="9"/>
            <color indexed="81"/>
            <rFont val="Tahoma"/>
            <family val="2"/>
          </rPr>
          <t>03/03/2022 - Em análise</t>
        </r>
      </text>
    </comment>
    <comment ref="D206" authorId="0" shapeId="0" xr:uid="{AE7A41E1-4956-473B-93FC-46A915A6E457}">
      <text>
        <r>
          <rPr>
            <sz val="9"/>
            <color indexed="81"/>
            <rFont val="Segoe UI"/>
            <family val="2"/>
          </rPr>
          <t>Desconto: 11/07/2021</t>
        </r>
      </text>
    </comment>
    <comment ref="F206" authorId="0" shapeId="0" xr:uid="{4B0623DE-60FE-4A34-8772-7AD45B0E375F}">
      <text>
        <r>
          <rPr>
            <sz val="9"/>
            <color indexed="81"/>
            <rFont val="Tahoma"/>
            <family val="2"/>
          </rPr>
          <t>17/02/2022 - Em análise</t>
        </r>
      </text>
    </comment>
    <comment ref="D207" authorId="0" shapeId="0" xr:uid="{7466E48C-2398-4000-BD71-82E888609129}">
      <text>
        <r>
          <rPr>
            <sz val="9"/>
            <color indexed="81"/>
            <rFont val="Segoe UI"/>
            <family val="2"/>
          </rPr>
          <t>Desconto: 19/11/2021</t>
        </r>
      </text>
    </comment>
    <comment ref="F207" authorId="1" shapeId="0" xr:uid="{8C86BCB7-01C3-4753-9117-74F1F506E99B}">
      <text>
        <r>
          <rPr>
            <sz val="9"/>
            <color indexed="81"/>
            <rFont val="Tahoma"/>
            <family val="2"/>
          </rPr>
          <t>03/03/2022 - Em análise</t>
        </r>
      </text>
    </comment>
    <comment ref="D208" authorId="0" shapeId="0" xr:uid="{7293399F-8B61-4D11-A88F-295BB9395784}">
      <text>
        <r>
          <rPr>
            <sz val="9"/>
            <color indexed="81"/>
            <rFont val="Segoe UI"/>
            <family val="2"/>
          </rPr>
          <t>Desconto: 28/03/2022</t>
        </r>
      </text>
    </comment>
    <comment ref="F208" authorId="1" shapeId="0" xr:uid="{9E95EE3F-7C53-4783-A6A8-9B271DC731C4}">
      <text>
        <r>
          <rPr>
            <sz val="9"/>
            <color indexed="81"/>
            <rFont val="Tahoma"/>
            <family val="2"/>
          </rPr>
          <t>02/03/2022 - Em análise</t>
        </r>
      </text>
    </comment>
    <comment ref="D209" authorId="0" shapeId="0" xr:uid="{165C9110-9A99-4D8F-9CD2-63AAB0922A9E}">
      <text>
        <r>
          <rPr>
            <sz val="9"/>
            <color indexed="81"/>
            <rFont val="Segoe UI"/>
            <family val="2"/>
          </rPr>
          <t>Desconto: 17/04/2022</t>
        </r>
      </text>
    </comment>
    <comment ref="F209" authorId="1" shapeId="0" xr:uid="{4C845328-7DFC-4365-9BC5-7A11D23D1E1E}">
      <text>
        <r>
          <rPr>
            <sz val="9"/>
            <color indexed="81"/>
            <rFont val="Tahoma"/>
            <family val="2"/>
          </rPr>
          <t>07/03/2022 - Pendente_x000D_
04/03/2022 - Em análise</t>
        </r>
      </text>
    </comment>
    <comment ref="F210" authorId="1" shapeId="0" xr:uid="{F2E38D09-6807-4FCA-9513-7EE0BC94D01E}">
      <text>
        <r>
          <rPr>
            <sz val="9"/>
            <color indexed="81"/>
            <rFont val="Tahoma"/>
            <family val="2"/>
          </rPr>
          <t>07/03/2022 - Concluído_x000D_
04/03/2022 - Aguardando PG_x000D_
27/02/2022 - Analisando_x000D_
16/02/2022 - Em análise</t>
        </r>
      </text>
    </comment>
    <comment ref="D211" authorId="0" shapeId="0" xr:uid="{C1B8A4C8-0AC6-4189-96B5-C2C61C0172F3}">
      <text>
        <r>
          <rPr>
            <sz val="9"/>
            <color indexed="81"/>
            <rFont val="Segoe UI"/>
            <family val="2"/>
          </rPr>
          <t>Desconto: 19/04/2022</t>
        </r>
      </text>
    </comment>
    <comment ref="F211" authorId="0" shapeId="0" xr:uid="{E4E331DD-12F9-4B80-A25D-A9F0AB02B123}">
      <text>
        <r>
          <rPr>
            <sz val="9"/>
            <color indexed="81"/>
            <rFont val="Segoe UI"/>
            <family val="2"/>
          </rPr>
          <t>07/03/2022 - Analisando_x000D_
07/03/2022 - Em análise</t>
        </r>
      </text>
    </comment>
    <comment ref="D212" authorId="0" shapeId="0" xr:uid="{0F0B7FCB-E637-4C4A-AA2E-B021CE2CFCB8}">
      <text>
        <r>
          <rPr>
            <sz val="9"/>
            <color indexed="81"/>
            <rFont val="Segoe UI"/>
            <family val="2"/>
          </rPr>
          <t>Desconto: 04/05/2022</t>
        </r>
      </text>
    </comment>
    <comment ref="F212" authorId="1" shapeId="0" xr:uid="{6169EC38-3473-419D-A7A9-FA72CDE98B72}">
      <text>
        <r>
          <rPr>
            <sz val="9"/>
            <color indexed="81"/>
            <rFont val="Tahoma"/>
            <family val="2"/>
          </rPr>
          <t>04/03/2022 - Em análise</t>
        </r>
      </text>
    </comment>
    <comment ref="D213" authorId="0" shapeId="0" xr:uid="{9466C048-C606-4B05-B47A-8994736C2B13}">
      <text>
        <r>
          <rPr>
            <sz val="9"/>
            <color indexed="81"/>
            <rFont val="Segoe UI"/>
            <family val="2"/>
          </rPr>
          <t>Desconto: 14/05/2022</t>
        </r>
      </text>
    </comment>
    <comment ref="F213" authorId="0" shapeId="0" xr:uid="{2A799516-2A49-46D2-982B-149CFF3BB474}">
      <text>
        <r>
          <rPr>
            <sz val="9"/>
            <color indexed="81"/>
            <rFont val="Segoe UI"/>
            <family val="2"/>
          </rPr>
          <t>07/03/2022 - Em análise</t>
        </r>
      </text>
    </comment>
    <comment ref="F214" authorId="1" shapeId="0" xr:uid="{8DB25013-F192-44CC-94E2-03CB9A22989E}">
      <text>
        <r>
          <rPr>
            <sz val="9"/>
            <color indexed="81"/>
            <rFont val="Tahoma"/>
            <family val="2"/>
          </rPr>
          <t>27/02/2022 - Analisando_x000D_
18/02/2022 - Em análise</t>
        </r>
      </text>
    </comment>
    <comment ref="F215" authorId="1" shapeId="0" xr:uid="{C6EC87E8-12B4-45F2-A12D-2A5FC8E5EB5F}">
      <text>
        <r>
          <rPr>
            <sz val="9"/>
            <color indexed="81"/>
            <rFont val="Tahoma"/>
            <family val="2"/>
          </rPr>
          <t>25/02/2022 - Em análise</t>
        </r>
      </text>
    </comment>
    <comment ref="D216" authorId="0" shapeId="0" xr:uid="{C46FC638-C78F-4AEA-8261-97BBF07BC0F4}">
      <text>
        <r>
          <rPr>
            <sz val="9"/>
            <color indexed="81"/>
            <rFont val="Segoe UI"/>
            <family val="2"/>
          </rPr>
          <t>Desconto: 09/03/2022</t>
        </r>
      </text>
    </comment>
    <comment ref="F216" authorId="1" shapeId="0" xr:uid="{71A4843A-6E9B-41AA-A6A7-51D309D16666}">
      <text>
        <r>
          <rPr>
            <sz val="9"/>
            <color indexed="81"/>
            <rFont val="Tahoma"/>
            <family val="2"/>
          </rPr>
          <t>04/03/2022 - Transferido_x000D_
04/03/2022 - Em análise</t>
        </r>
      </text>
    </comment>
    <comment ref="F217" authorId="1" shapeId="0" xr:uid="{5528F7BF-39E0-4535-BCB9-B43562F7F5B6}">
      <text>
        <r>
          <rPr>
            <sz val="9"/>
            <color indexed="81"/>
            <rFont val="Tahoma"/>
            <family val="2"/>
          </rPr>
          <t>03/03/2022 - Em análise</t>
        </r>
      </text>
    </comment>
    <comment ref="F218" authorId="0" shapeId="0" xr:uid="{0B57F00E-68B1-4F39-A468-045256485A63}">
      <text>
        <r>
          <rPr>
            <sz val="9"/>
            <color indexed="81"/>
            <rFont val="Segoe UI"/>
            <family val="2"/>
          </rPr>
          <t>07/03/2022 - Em análise</t>
        </r>
      </text>
    </comment>
    <comment ref="F219" authorId="0" shapeId="0" xr:uid="{52B7390F-F50B-448D-AB07-13C3F3DA5CAE}">
      <text>
        <r>
          <rPr>
            <sz val="9"/>
            <color indexed="81"/>
            <rFont val="Segoe UI"/>
            <family val="2"/>
          </rPr>
          <t>07/03/2022 - Em análise</t>
        </r>
      </text>
    </comment>
    <comment ref="F220" authorId="0" shapeId="0" xr:uid="{EA25022B-A980-4582-AC2E-ACE23B0B0EBA}">
      <text>
        <r>
          <rPr>
            <sz val="9"/>
            <color indexed="81"/>
            <rFont val="Segoe UI"/>
            <family val="2"/>
          </rPr>
          <t>07/03/2022 - Em análise</t>
        </r>
      </text>
    </comment>
    <comment ref="D221" authorId="0" shapeId="0" xr:uid="{5DD743B2-3EA5-498E-99FA-1FB0F3BB55CF}">
      <text>
        <r>
          <rPr>
            <sz val="9"/>
            <color indexed="81"/>
            <rFont val="Segoe UI"/>
            <family val="2"/>
          </rPr>
          <t>Desconto: 21/09/2018</t>
        </r>
      </text>
    </comment>
    <comment ref="F221" authorId="0" shapeId="0" xr:uid="{F724F5C2-5AD9-42BE-929C-EC17A769D34E}">
      <text>
        <r>
          <rPr>
            <sz val="9"/>
            <color indexed="81"/>
            <rFont val="Segoe UI"/>
            <family val="2"/>
          </rPr>
          <t>07/03/2022 - Transferido_x000D_
07/03/2022 - Em análise</t>
        </r>
      </text>
    </comment>
    <comment ref="F222" authorId="1" shapeId="0" xr:uid="{696E25B2-AA56-474C-8064-B5591A7AB929}">
      <text>
        <r>
          <rPr>
            <sz val="9"/>
            <color indexed="81"/>
            <rFont val="Tahoma"/>
            <family val="2"/>
          </rPr>
          <t>21/02/2022 - Em análise</t>
        </r>
      </text>
    </comment>
    <comment ref="F223" authorId="1" shapeId="0" xr:uid="{61F5B3DF-A0EB-4D9D-870C-5B7AE1B26822}">
      <text>
        <r>
          <rPr>
            <sz val="9"/>
            <color indexed="81"/>
            <rFont val="Tahoma"/>
            <family val="2"/>
          </rPr>
          <t>16/02/2022 - Em análise</t>
        </r>
      </text>
    </comment>
    <comment ref="F224" authorId="0" shapeId="0" xr:uid="{A77557B2-D684-4001-9368-18EC4E98449F}">
      <text>
        <r>
          <rPr>
            <sz val="9"/>
            <color indexed="81"/>
            <rFont val="Tahoma"/>
            <family val="2"/>
          </rPr>
          <t>16/02/2022 - Analisando_x000D_
15/02/2022 - Pendente_x000D_
02/02/2022 - Em análise</t>
        </r>
      </text>
    </comment>
    <comment ref="D225" authorId="1" shapeId="0" xr:uid="{3DC13775-3230-4172-9618-AB823EF7A3A4}">
      <text>
        <r>
          <rPr>
            <sz val="9"/>
            <color indexed="81"/>
            <rFont val="Tahoma"/>
            <family val="2"/>
          </rPr>
          <t>Desconto: 24/02/2016</t>
        </r>
      </text>
    </comment>
    <comment ref="F225" authorId="1" shapeId="0" xr:uid="{16F818DB-B983-48A2-A078-440C1769C4FD}">
      <text>
        <r>
          <rPr>
            <sz val="9"/>
            <color indexed="81"/>
            <rFont val="Tahoma"/>
            <family val="2"/>
          </rPr>
          <t>08/03/2022 - Pendente_x000D_
08/03/2022 - Analisando_x000D_
08/03/2022 - Em análise</t>
        </r>
      </text>
    </comment>
    <comment ref="F226" authorId="1" shapeId="0" xr:uid="{AE1671EC-05EB-4052-92A7-A0235DFE3B71}">
      <text>
        <r>
          <rPr>
            <sz val="9"/>
            <color indexed="81"/>
            <rFont val="Tahoma"/>
            <family val="2"/>
          </rPr>
          <t>08/03/2022 - Em análise</t>
        </r>
      </text>
    </comment>
    <comment ref="D227" authorId="1" shapeId="0" xr:uid="{8F0DE9EC-EFF8-4A58-AD58-C9DF20F4069E}">
      <text>
        <r>
          <rPr>
            <sz val="9"/>
            <color indexed="81"/>
            <rFont val="Tahoma"/>
            <family val="2"/>
          </rPr>
          <t>Desconto: 09/03/2022</t>
        </r>
      </text>
    </comment>
    <comment ref="F227" authorId="1" shapeId="0" xr:uid="{23DD8E37-1A7D-43AA-89AD-D17210B061D5}">
      <text>
        <r>
          <rPr>
            <sz val="9"/>
            <color indexed="81"/>
            <rFont val="Tahoma"/>
            <family val="2"/>
          </rPr>
          <t>08/03/2022 - Em análise</t>
        </r>
      </text>
    </comment>
    <comment ref="D228" authorId="1" shapeId="0" xr:uid="{C59BEA13-C8D8-4857-AEF0-8537E03B2CEB}">
      <text>
        <r>
          <rPr>
            <sz val="9"/>
            <color indexed="81"/>
            <rFont val="Tahoma"/>
            <family val="2"/>
          </rPr>
          <t>Desconto: 08/03/2022</t>
        </r>
      </text>
    </comment>
    <comment ref="F228" authorId="1" shapeId="0" xr:uid="{6B5E7E0E-F7C1-4360-B2A6-107317D9F569}">
      <text>
        <r>
          <rPr>
            <sz val="9"/>
            <color indexed="81"/>
            <rFont val="Tahoma"/>
            <family val="2"/>
          </rPr>
          <t>08/03/2022 - DF-Avaliação_x000D_
08/03/2022 - Analisando_x000D_
08/03/2022 - Em análise</t>
        </r>
      </text>
    </comment>
    <comment ref="D229" authorId="1" shapeId="0" xr:uid="{B2E51C06-A1B9-4D40-B390-6E9E949EC9E8}">
      <text>
        <r>
          <rPr>
            <sz val="9"/>
            <color indexed="81"/>
            <rFont val="Tahoma"/>
            <family val="2"/>
          </rPr>
          <t>Desconto: 04/02/2022</t>
        </r>
      </text>
    </comment>
    <comment ref="F229" authorId="1" shapeId="0" xr:uid="{B9349718-3AA9-4E17-9C63-65B91DCDB1E0}">
      <text>
        <r>
          <rPr>
            <sz val="9"/>
            <color indexed="81"/>
            <rFont val="Tahoma"/>
            <family val="2"/>
          </rPr>
          <t>08/03/2022 - Em análise</t>
        </r>
      </text>
    </comment>
    <comment ref="F230" authorId="1" shapeId="0" xr:uid="{74785E0A-2884-4107-8349-2C32D4F77AA8}">
      <text>
        <r>
          <rPr>
            <sz val="9"/>
            <color indexed="81"/>
            <rFont val="Tahoma"/>
            <family val="2"/>
          </rPr>
          <t>08/03/2022 - Em análise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Wesley Braga Teodoro</author>
    <author>David Braga</author>
  </authors>
  <commentList>
    <comment ref="E100" authorId="0" shapeId="0" xr:uid="{CE88F60B-E4FB-4308-A70E-BFD0F909946C}">
      <text>
        <r>
          <rPr>
            <sz val="9"/>
            <color indexed="81"/>
            <rFont val="Tahoma"/>
            <family val="2"/>
          </rPr>
          <t>02/02/2022 - Em análise</t>
        </r>
      </text>
    </comment>
    <comment ref="F131" authorId="1" shapeId="0" xr:uid="{19E3BCFF-F5D4-4939-AB91-AD6629EC07EF}">
      <text>
        <r>
          <rPr>
            <sz val="9"/>
            <color indexed="81"/>
            <rFont val="Tahoma"/>
            <family val="2"/>
          </rPr>
          <t>11/02/2022 - Em análise</t>
        </r>
      </text>
    </comment>
    <comment ref="F179" authorId="1" shapeId="0" xr:uid="{5217B47E-AB71-46AE-BA0E-A43E881EDE2B}">
      <text>
        <r>
          <rPr>
            <sz val="9"/>
            <color indexed="81"/>
            <rFont val="Tahoma"/>
            <family val="2"/>
          </rPr>
          <t>17/02/2022 - Em análise</t>
        </r>
      </text>
    </comment>
  </commentList>
</comments>
</file>

<file path=xl/sharedStrings.xml><?xml version="1.0" encoding="utf-8"?>
<sst xmlns="http://schemas.openxmlformats.org/spreadsheetml/2006/main" count="572" uniqueCount="54">
  <si>
    <t>CONTROLE DE PROTOCOLOS ITCD - DAVID BRAGA</t>
  </si>
  <si>
    <t>TOTAL</t>
  </si>
  <si>
    <t>Em análise</t>
  </si>
  <si>
    <t>Pendente</t>
  </si>
  <si>
    <t>Protocolo</t>
  </si>
  <si>
    <t>Tipo</t>
  </si>
  <si>
    <t>FG</t>
  </si>
  <si>
    <t>Vencimento</t>
  </si>
  <si>
    <t>Valor</t>
  </si>
  <si>
    <t>Status</t>
  </si>
  <si>
    <t>Concluído</t>
  </si>
  <si>
    <t>Causa Mortis</t>
  </si>
  <si>
    <t>Aguardando PG</t>
  </si>
  <si>
    <t>Doação</t>
  </si>
  <si>
    <t>30/12/2021</t>
  </si>
  <si>
    <t>Avaliação de Bens</t>
  </si>
  <si>
    <t>Última Atuação</t>
  </si>
  <si>
    <t>Situação</t>
  </si>
  <si>
    <t>Transferido</t>
  </si>
  <si>
    <t>Cancelado</t>
  </si>
  <si>
    <t>Analisando</t>
  </si>
  <si>
    <t>30/12/2022</t>
  </si>
  <si>
    <t>DF-Avaliação</t>
  </si>
  <si>
    <t>Excedente de Meação</t>
  </si>
  <si>
    <t>TODAY</t>
  </si>
  <si>
    <t>SEARCH</t>
  </si>
  <si>
    <t>Extinção de Usufruto</t>
  </si>
  <si>
    <t>Em Análise</t>
  </si>
  <si>
    <t>Tipos de Transmissão</t>
  </si>
  <si>
    <t>Fases</t>
  </si>
  <si>
    <t>Instituição de Usufruto</t>
  </si>
  <si>
    <t>DF-Contraditório</t>
  </si>
  <si>
    <t>Certidão Automática</t>
  </si>
  <si>
    <t>Avaliação outra AF</t>
  </si>
  <si>
    <t>$A$218</t>
  </si>
  <si>
    <t>$A$219</t>
  </si>
  <si>
    <t>$A$197</t>
  </si>
  <si>
    <t>$A$206</t>
  </si>
  <si>
    <t>$A$214</t>
  </si>
  <si>
    <t>$A$200</t>
  </si>
  <si>
    <t>$A$111</t>
  </si>
  <si>
    <t>$A$208</t>
  </si>
  <si>
    <t>$A$201</t>
  </si>
  <si>
    <t>$A$202</t>
  </si>
  <si>
    <t>$A$217</t>
  </si>
  <si>
    <t>$A$207</t>
  </si>
  <si>
    <t>$A$212</t>
  </si>
  <si>
    <t>$A$205</t>
  </si>
  <si>
    <t>$A$220</t>
  </si>
  <si>
    <t>$A$177</t>
  </si>
  <si>
    <t>$A$211</t>
  </si>
  <si>
    <t>$A$180</t>
  </si>
  <si>
    <t>$A$167</t>
  </si>
  <si>
    <t>$A$174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</si>
</sst>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R$&quot;* #,##0.00_);_(&quot;R$&quot;* \(#,##0.00\);_(&quot;R$&quot;* &quot;-&quot;??_);_(@_)"/>
    <numFmt numFmtId="165" formatCode="000&quot;.&quot;000&quot;.&quot;000&quot;.&quot;000&quot;-&quot;0"/>
    <numFmt numFmtId="166" formatCode="00\.000000000\-00"/>
    <numFmt numFmtId="167" formatCode="000\.000\.000\.000\-0"/>
    <numFmt numFmtId="168" formatCode="0&quot; analisados&quot;"/>
    <numFmt numFmtId="169" formatCode="0&quot; Calc/Conc&quot;"/>
    <numFmt numFmtId="170" formatCode="0&quot; Causa Mortis&quot;"/>
    <numFmt numFmtId="171" formatCode="0&quot; Doação&quot;"/>
    <numFmt numFmtId="172" formatCode="0&quot; Outros&quot;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A9D08E"/>
      <name val="Calibri"/>
      <family val="2"/>
      <scheme val="minor"/>
    </font>
    <font>
      <sz val="9"/>
      <color indexed="81"/>
      <name val="Tahoma"/>
      <family val="2"/>
    </font>
    <font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6" tint="0.39997558519241921"/>
      </right>
      <top/>
      <bottom/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6" tint="0.39997558519241921"/>
      </left>
      <right style="thin">
        <color theme="6" tint="0.39997558519241921"/>
      </right>
      <top/>
      <bottom style="thin">
        <color theme="6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6" tint="0.3999755851924192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0">
    <xf numFmtId="0" fontId="0" fillId="0" borderId="0" xfId="0"/>
    <xf numFmtId="14" fontId="0" fillId="0" borderId="0" xfId="0" applyNumberFormat="1"/>
    <xf numFmtId="1" fontId="0" fillId="0" borderId="0" xfId="0" applyNumberFormat="1"/>
    <xf numFmtId="164" fontId="0" fillId="0" borderId="0" xfId="1" applyFont="1"/>
    <xf numFmtId="1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64" fontId="0" fillId="2" borderId="0" xfId="1" applyFont="1" applyFill="1"/>
    <xf numFmtId="0" fontId="0" fillId="2" borderId="0" xfId="0" applyFill="1"/>
    <xf numFmtId="165" fontId="2" fillId="2" borderId="0" xfId="0" applyNumberFormat="1" applyFont="1" applyFill="1" applyAlignment="1">
      <alignment horizontal="center"/>
    </xf>
    <xf numFmtId="0" fontId="4" fillId="2" borderId="1" xfId="0" applyFont="1" applyFill="1" applyBorder="1"/>
    <xf numFmtId="0" fontId="4" fillId="2" borderId="2" xfId="0" applyFont="1" applyFill="1" applyBorder="1" applyAlignment="1">
      <alignment horizontal="left"/>
    </xf>
    <xf numFmtId="0" fontId="4" fillId="2" borderId="3" xfId="0" applyFont="1" applyFill="1" applyBorder="1"/>
    <xf numFmtId="0" fontId="4" fillId="2" borderId="4" xfId="0" applyFont="1" applyFill="1" applyBorder="1" applyAlignment="1">
      <alignment horizontal="left"/>
    </xf>
    <xf numFmtId="0" fontId="4" fillId="2" borderId="5" xfId="0" applyFont="1" applyFill="1" applyBorder="1"/>
    <xf numFmtId="165" fontId="3" fillId="2" borderId="0" xfId="0" applyNumberFormat="1" applyFont="1" applyFill="1"/>
    <xf numFmtId="14" fontId="5" fillId="2" borderId="0" xfId="0" applyNumberFormat="1" applyFont="1" applyFill="1" applyAlignment="1">
      <alignment horizontal="right" vertical="center"/>
    </xf>
    <xf numFmtId="1" fontId="6" fillId="2" borderId="0" xfId="0" applyNumberFormat="1" applyFont="1" applyFill="1" applyAlignment="1">
      <alignment vertical="center"/>
    </xf>
    <xf numFmtId="14" fontId="0" fillId="0" borderId="0" xfId="0" applyNumberFormat="1" applyAlignment="1">
      <alignment horizontal="right"/>
    </xf>
    <xf numFmtId="0" fontId="0" fillId="4" borderId="0" xfId="0" applyFill="1"/>
    <xf numFmtId="166" fontId="0" fillId="5" borderId="8" xfId="0" applyNumberFormat="1" applyFill="1" applyBorder="1" applyProtection="1">
      <protection hidden="1"/>
    </xf>
    <xf numFmtId="14" fontId="0" fillId="5" borderId="8" xfId="0" applyNumberFormat="1" applyFill="1" applyBorder="1" applyProtection="1">
      <protection hidden="1"/>
    </xf>
    <xf numFmtId="167" fontId="0" fillId="0" borderId="8" xfId="0" applyNumberFormat="1" applyFill="1" applyBorder="1" applyProtection="1">
      <protection locked="0"/>
    </xf>
    <xf numFmtId="1" fontId="0" fillId="0" borderId="0" xfId="0" applyNumberFormat="1" applyFill="1" applyProtection="1">
      <protection locked="0"/>
    </xf>
    <xf numFmtId="165" fontId="0" fillId="2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7" fontId="0" fillId="0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/>
    <xf numFmtId="14" fontId="0" fillId="0" borderId="0" xfId="0" applyNumberFormat="1" applyAlignment="1"/>
    <xf numFmtId="0" fontId="0" fillId="0" borderId="0" xfId="0" applyAlignment="1"/>
    <xf numFmtId="167" fontId="0" fillId="0" borderId="0" xfId="0" applyNumberFormat="1" applyFill="1" applyBorder="1" applyAlignment="1" applyProtection="1">
      <alignment horizontal="center" vertical="center"/>
      <protection locked="0"/>
    </xf>
    <xf numFmtId="167" fontId="0" fillId="0" borderId="8" xfId="0" applyNumberFormat="1" applyFill="1" applyBorder="1" applyAlignment="1" applyProtection="1">
      <alignment horizontal="center"/>
      <protection locked="0"/>
    </xf>
    <xf numFmtId="165" fontId="0" fillId="0" borderId="0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7" fontId="0" fillId="0" borderId="0" xfId="0" applyNumberFormat="1" applyFill="1" applyBorder="1" applyAlignment="1" applyProtection="1">
      <alignment horizontal="center"/>
      <protection locked="0"/>
    </xf>
    <xf numFmtId="167" fontId="0" fillId="0" borderId="8" xfId="0" applyNumberFormat="1" applyFill="1" applyBorder="1" applyAlignment="1" applyProtection="1">
      <alignment vertical="center"/>
      <protection locked="0"/>
    </xf>
    <xf numFmtId="1" fontId="0" fillId="0" borderId="0" xfId="0" applyNumberFormat="1" applyFill="1" applyAlignment="1" applyProtection="1">
      <alignment vertical="center"/>
      <protection locked="0"/>
    </xf>
    <xf numFmtId="0" fontId="0" fillId="0" borderId="0" xfId="0" applyProtection="1">
      <protection hidden="1"/>
    </xf>
    <xf numFmtId="14" fontId="0" fillId="0" borderId="7" xfId="0" applyNumberFormat="1" applyBorder="1" applyAlignment="1" applyProtection="1">
      <alignment horizontal="center" vertical="center"/>
      <protection hidden="1"/>
    </xf>
    <xf numFmtId="0" fontId="0" fillId="4" borderId="0" xfId="0" applyFill="1" applyProtection="1">
      <protection hidden="1"/>
    </xf>
    <xf numFmtId="167" fontId="0" fillId="0" borderId="17" xfId="0" applyNumberFormat="1" applyFill="1" applyBorder="1" applyProtection="1">
      <protection locked="0"/>
    </xf>
    <xf numFmtId="166" fontId="0" fillId="5" borderId="17" xfId="0" applyNumberFormat="1" applyFill="1" applyBorder="1" applyProtection="1">
      <protection hidden="1"/>
    </xf>
    <xf numFmtId="14" fontId="0" fillId="5" borderId="17" xfId="0" applyNumberFormat="1" applyFill="1" applyBorder="1" applyProtection="1">
      <protection hidden="1"/>
    </xf>
    <xf numFmtId="0" fontId="9" fillId="3" borderId="19" xfId="0" applyFont="1" applyFill="1" applyBorder="1" applyAlignment="1" applyProtection="1">
      <alignment horizontal="center" vertical="center"/>
      <protection hidden="1"/>
    </xf>
    <xf numFmtId="14" fontId="9" fillId="3" borderId="20" xfId="0" applyNumberFormat="1" applyFont="1" applyFill="1" applyBorder="1" applyAlignment="1" applyProtection="1">
      <alignment horizontal="center" vertical="center"/>
      <protection hidden="1"/>
    </xf>
    <xf numFmtId="14" fontId="9" fillId="3" borderId="21" xfId="0" applyNumberFormat="1" applyFont="1" applyFill="1" applyBorder="1" applyAlignment="1" applyProtection="1">
      <alignment horizontal="center" vertical="center"/>
      <protection hidden="1"/>
    </xf>
    <xf numFmtId="1" fontId="9" fillId="3" borderId="18" xfId="0" applyNumberFormat="1" applyFont="1" applyFill="1" applyBorder="1" applyAlignment="1" applyProtection="1">
      <alignment horizontal="center" vertical="center"/>
      <protection locked="0"/>
    </xf>
    <xf numFmtId="0" fontId="11" fillId="4" borderId="0" xfId="0" applyFont="1" applyFill="1" applyAlignment="1">
      <alignment horizontal="center"/>
    </xf>
    <xf numFmtId="0" fontId="10" fillId="4" borderId="0" xfId="2" applyFill="1" applyAlignment="1">
      <alignment horizontal="center"/>
    </xf>
    <xf numFmtId="0" fontId="0" fillId="0" borderId="0" xfId="0" applyAlignment="1">
      <alignment horizontal="left" vertical="center"/>
    </xf>
    <xf numFmtId="0" fontId="4" fillId="2" borderId="22" xfId="0" applyFont="1" applyFill="1" applyBorder="1" applyAlignment="1">
      <alignment horizontal="left"/>
    </xf>
    <xf numFmtId="0" fontId="4" fillId="2" borderId="2" xfId="0" applyFont="1" applyFill="1" applyBorder="1" applyAlignment="1">
      <alignment horizontal="center"/>
    </xf>
    <xf numFmtId="0" fontId="4" fillId="2" borderId="23" xfId="0" applyFont="1" applyFill="1" applyBorder="1" applyAlignment="1">
      <alignment horizontal="center"/>
    </xf>
    <xf numFmtId="14" fontId="12" fillId="2" borderId="23" xfId="0" applyNumberFormat="1" applyFont="1" applyFill="1" applyBorder="1" applyAlignment="1">
      <alignment horizontal="center"/>
    </xf>
    <xf numFmtId="165" fontId="2" fillId="2" borderId="22" xfId="0" applyNumberFormat="1" applyFont="1" applyFill="1" applyBorder="1" applyAlignment="1">
      <alignment horizontal="center" vertical="center"/>
    </xf>
    <xf numFmtId="165" fontId="2" fillId="2" borderId="22" xfId="0" applyNumberFormat="1" applyFont="1" applyFill="1" applyBorder="1" applyAlignment="1">
      <alignment horizontal="center"/>
    </xf>
    <xf numFmtId="165" fontId="2" fillId="2" borderId="22" xfId="0" applyNumberFormat="1" applyFont="1" applyFill="1" applyBorder="1" applyAlignment="1"/>
    <xf numFmtId="165" fontId="2" fillId="2" borderId="6" xfId="0" applyNumberFormat="1" applyFont="1" applyFill="1" applyBorder="1" applyAlignment="1">
      <alignment horizontal="center"/>
    </xf>
    <xf numFmtId="168" fontId="4" fillId="2" borderId="2" xfId="0" applyNumberFormat="1" applyFont="1" applyFill="1" applyBorder="1" applyAlignment="1">
      <alignment horizontal="center"/>
    </xf>
    <xf numFmtId="169" fontId="4" fillId="2" borderId="2" xfId="0" applyNumberFormat="1" applyFont="1" applyFill="1" applyBorder="1" applyAlignment="1">
      <alignment horizontal="center"/>
    </xf>
    <xf numFmtId="1" fontId="0" fillId="0" borderId="0" xfId="0" applyNumberFormat="1" applyFill="1" applyBorder="1" applyProtection="1">
      <protection locked="0"/>
    </xf>
    <xf numFmtId="171" fontId="12" fillId="2" borderId="23" xfId="0" applyNumberFormat="1" applyFont="1" applyFill="1" applyBorder="1" applyAlignment="1">
      <alignment horizontal="left"/>
    </xf>
    <xf numFmtId="170" fontId="12" fillId="2" borderId="23" xfId="0" applyNumberFormat="1" applyFont="1" applyFill="1" applyBorder="1" applyAlignment="1">
      <alignment horizontal="left"/>
    </xf>
    <xf numFmtId="172" fontId="12" fillId="2" borderId="23" xfId="0" applyNumberFormat="1" applyFont="1" applyFill="1" applyBorder="1" applyAlignment="1">
      <alignment horizontal="left"/>
    </xf>
    <xf numFmtId="0" fontId="13" fillId="6" borderId="0" xfId="0" applyFont="1" applyFill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65" fontId="3" fillId="2" borderId="0" xfId="0" applyNumberFormat="1" applyFont="1" applyFill="1" applyAlignment="1">
      <alignment horizontal="center"/>
    </xf>
    <xf numFmtId="165" fontId="3" fillId="2" borderId="0" xfId="0" applyNumberFormat="1" applyFont="1" applyFill="1" applyAlignment="1"/>
    <xf numFmtId="1" fontId="0" fillId="6" borderId="9" xfId="0" applyNumberFormat="1" applyFill="1" applyBorder="1" applyAlignment="1" applyProtection="1">
      <alignment horizontal="center" vertical="center"/>
      <protection locked="0"/>
    </xf>
    <xf numFmtId="1" fontId="0" fillId="6" borderId="10" xfId="0" applyNumberFormat="1" applyFill="1" applyBorder="1" applyAlignment="1" applyProtection="1">
      <alignment horizontal="center" vertical="center"/>
      <protection locked="0"/>
    </xf>
    <xf numFmtId="1" fontId="0" fillId="6" borderId="11" xfId="0" applyNumberFormat="1" applyFill="1" applyBorder="1" applyAlignment="1" applyProtection="1">
      <alignment horizontal="center" vertical="center"/>
      <protection locked="0"/>
    </xf>
    <xf numFmtId="1" fontId="0" fillId="6" borderId="12" xfId="0" applyNumberFormat="1" applyFill="1" applyBorder="1" applyAlignment="1" applyProtection="1">
      <alignment horizontal="center" vertical="center"/>
      <protection locked="0"/>
    </xf>
    <xf numFmtId="1" fontId="0" fillId="6" borderId="0" xfId="0" applyNumberFormat="1" applyFill="1" applyBorder="1" applyAlignment="1" applyProtection="1">
      <alignment horizontal="center" vertical="center"/>
      <protection locked="0"/>
    </xf>
    <xf numFmtId="1" fontId="0" fillId="6" borderId="13" xfId="0" applyNumberFormat="1" applyFill="1" applyBorder="1" applyAlignment="1" applyProtection="1">
      <alignment horizontal="center" vertical="center"/>
      <protection locked="0"/>
    </xf>
    <xf numFmtId="1" fontId="0" fillId="6" borderId="14" xfId="0" applyNumberFormat="1" applyFill="1" applyBorder="1" applyAlignment="1" applyProtection="1">
      <alignment horizontal="center" vertical="center"/>
      <protection locked="0"/>
    </xf>
    <xf numFmtId="1" fontId="0" fillId="6" borderId="15" xfId="0" applyNumberFormat="1" applyFill="1" applyBorder="1" applyAlignment="1" applyProtection="1">
      <alignment horizontal="center" vertical="center"/>
      <protection locked="0"/>
    </xf>
    <xf numFmtId="1" fontId="0" fillId="6" borderId="16" xfId="0" applyNumberFormat="1" applyFill="1" applyBorder="1" applyAlignment="1" applyProtection="1">
      <alignment horizontal="center" vertical="center"/>
      <protection locked="0"/>
    </xf>
  </cellXfs>
  <cellStyles count="3">
    <cellStyle name="Currency" xfId="1" builtinId="4"/>
    <cellStyle name="Hyperlink" xfId="2" builtinId="8"/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9" tint="0.39994506668294322"/>
        </patternFill>
      </fill>
    </dxf>
    <dxf>
      <fill>
        <patternFill>
          <bgColor rgb="FF99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rgb="FFC00000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9" tint="-0.24994659260841701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FF5050"/>
        </patternFill>
      </fill>
    </dxf>
    <dxf>
      <font>
        <color theme="0"/>
      </font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99FFCC"/>
      <color rgb="FFCCFF66"/>
      <color rgb="FF9999FF"/>
      <color rgb="FFA9D08E"/>
      <color rgb="FFECE8F0"/>
      <color rgb="FFBCA7CD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225328</xdr:colOff>
      <xdr:row>1</xdr:row>
      <xdr:rowOff>15239</xdr:rowOff>
    </xdr:from>
    <xdr:to>
      <xdr:col>3</xdr:col>
      <xdr:colOff>928397</xdr:colOff>
      <xdr:row>3</xdr:row>
      <xdr:rowOff>66239</xdr:rowOff>
    </xdr:to>
    <xdr:sp macro="[0]!analise_Click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B8825A9-7BA9-47C5-AA37-B77E5D83CD0A}"/>
            </a:ext>
          </a:extLst>
        </xdr:cNvPr>
        <xdr:cNvSpPr/>
      </xdr:nvSpPr>
      <xdr:spPr>
        <a:xfrm>
          <a:off x="2549428" y="415289"/>
          <a:ext cx="1474594" cy="451050"/>
        </a:xfrm>
        <a:prstGeom prst="roundRect">
          <a:avLst/>
        </a:prstGeom>
        <a:gradFill flip="none" rotWithShape="1">
          <a:gsLst>
            <a:gs pos="14000">
              <a:schemeClr val="accent6">
                <a:lumMod val="40000"/>
                <a:lumOff val="60000"/>
              </a:schemeClr>
            </a:gs>
            <a:gs pos="36000">
              <a:schemeClr val="accent6">
                <a:lumMod val="40000"/>
                <a:lumOff val="60000"/>
              </a:schemeClr>
            </a:gs>
            <a:gs pos="100000">
              <a:schemeClr val="accent6">
                <a:lumMod val="75000"/>
              </a:schemeClr>
            </a:gs>
          </a:gsLst>
          <a:path path="shap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>
              <a:ln w="6600">
                <a:solidFill>
                  <a:schemeClr val="accent6">
                    <a:lumMod val="20000"/>
                    <a:lumOff val="8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Trebuchet MS" panose="020B0603020202020204" pitchFamily="34" charset="0"/>
            </a:rPr>
            <a:t>Em</a:t>
          </a:r>
          <a:r>
            <a:rPr lang="pt-BR" sz="1400" b="1" cap="none" spc="0" baseline="0">
              <a:ln w="6600">
                <a:solidFill>
                  <a:schemeClr val="accent6">
                    <a:lumMod val="20000"/>
                    <a:lumOff val="8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Trebuchet MS" panose="020B0603020202020204" pitchFamily="34" charset="0"/>
            </a:rPr>
            <a:t> análise</a:t>
          </a:r>
          <a:endParaRPr lang="pt-BR" sz="1400" b="1" cap="none" spc="0">
            <a:ln w="6600">
              <a:solidFill>
                <a:schemeClr val="accent6">
                  <a:lumMod val="20000"/>
                  <a:lumOff val="80000"/>
                </a:schemeClr>
              </a:solidFill>
              <a:prstDash val="solid"/>
            </a:ln>
            <a:solidFill>
              <a:schemeClr val="bg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0</xdr:col>
      <xdr:colOff>704850</xdr:colOff>
      <xdr:row>1</xdr:row>
      <xdr:rowOff>9524</xdr:rowOff>
    </xdr:from>
    <xdr:to>
      <xdr:col>1</xdr:col>
      <xdr:colOff>991200</xdr:colOff>
      <xdr:row>3</xdr:row>
      <xdr:rowOff>60524</xdr:rowOff>
    </xdr:to>
    <xdr:sp macro="[0]!clear_filter_Click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6B30DD2-5B77-4791-8167-811196A9FE8E}"/>
            </a:ext>
          </a:extLst>
        </xdr:cNvPr>
        <xdr:cNvSpPr/>
      </xdr:nvSpPr>
      <xdr:spPr>
        <a:xfrm>
          <a:off x="704850" y="409574"/>
          <a:ext cx="1476975" cy="451050"/>
        </a:xfrm>
        <a:prstGeom prst="roundRect">
          <a:avLst/>
        </a:prstGeom>
        <a:gradFill flip="none" rotWithShape="1">
          <a:gsLst>
            <a:gs pos="14000">
              <a:schemeClr val="accent6">
                <a:lumMod val="40000"/>
                <a:lumOff val="60000"/>
              </a:schemeClr>
            </a:gs>
            <a:gs pos="36000">
              <a:schemeClr val="accent6">
                <a:lumMod val="40000"/>
                <a:lumOff val="60000"/>
              </a:schemeClr>
            </a:gs>
            <a:gs pos="100000">
              <a:schemeClr val="accent6">
                <a:lumMod val="75000"/>
              </a:schemeClr>
            </a:gs>
          </a:gsLst>
          <a:path path="shap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>
              <a:ln w="6600">
                <a:solidFill>
                  <a:schemeClr val="accent6">
                    <a:lumMod val="20000"/>
                    <a:lumOff val="8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Trebuchet MS" panose="020B0603020202020204" pitchFamily="34" charset="0"/>
            </a:rPr>
            <a:t>Clear</a:t>
          </a:r>
        </a:p>
      </xdr:txBody>
    </xdr:sp>
    <xdr:clientData/>
  </xdr:twoCellAnchor>
  <xdr:twoCellAnchor>
    <xdr:from>
      <xdr:col>4</xdr:col>
      <xdr:colOff>200625</xdr:colOff>
      <xdr:row>1</xdr:row>
      <xdr:rowOff>32384</xdr:rowOff>
    </xdr:from>
    <xdr:to>
      <xdr:col>5</xdr:col>
      <xdr:colOff>534000</xdr:colOff>
      <xdr:row>3</xdr:row>
      <xdr:rowOff>83384</xdr:rowOff>
    </xdr:to>
    <xdr:sp macro="[0]!pendente_Click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995C5D0B-10B6-4ED7-BE3F-F4A91BBE2044}"/>
            </a:ext>
          </a:extLst>
        </xdr:cNvPr>
        <xdr:cNvSpPr/>
      </xdr:nvSpPr>
      <xdr:spPr>
        <a:xfrm>
          <a:off x="4391625" y="432434"/>
          <a:ext cx="1533525" cy="451050"/>
        </a:xfrm>
        <a:prstGeom prst="roundRect">
          <a:avLst/>
        </a:prstGeom>
        <a:gradFill flip="none" rotWithShape="1">
          <a:gsLst>
            <a:gs pos="14000">
              <a:schemeClr val="accent6">
                <a:lumMod val="40000"/>
                <a:lumOff val="60000"/>
              </a:schemeClr>
            </a:gs>
            <a:gs pos="36000">
              <a:schemeClr val="accent6">
                <a:lumMod val="40000"/>
                <a:lumOff val="60000"/>
              </a:schemeClr>
            </a:gs>
            <a:gs pos="100000">
              <a:schemeClr val="accent6">
                <a:lumMod val="75000"/>
              </a:schemeClr>
            </a:gs>
          </a:gsLst>
          <a:path path="shap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>
              <a:ln w="6600">
                <a:solidFill>
                  <a:schemeClr val="accent6">
                    <a:lumMod val="20000"/>
                    <a:lumOff val="8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Trebuchet MS" panose="020B0603020202020204" pitchFamily="34" charset="0"/>
            </a:rPr>
            <a:t>Pendente</a:t>
          </a:r>
        </a:p>
      </xdr:txBody>
    </xdr:sp>
    <xdr:clientData/>
  </xdr:twoCellAnchor>
  <xdr:twoCellAnchor>
    <xdr:from>
      <xdr:col>5</xdr:col>
      <xdr:colOff>901603</xdr:colOff>
      <xdr:row>1</xdr:row>
      <xdr:rowOff>38099</xdr:rowOff>
    </xdr:from>
    <xdr:to>
      <xdr:col>7</xdr:col>
      <xdr:colOff>499171</xdr:colOff>
      <xdr:row>3</xdr:row>
      <xdr:rowOff>89099</xdr:rowOff>
    </xdr:to>
    <xdr:sp macro="[0]!concluido_Click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EC890FD8-9DF7-49BC-9C60-D6DA79165161}"/>
            </a:ext>
          </a:extLst>
        </xdr:cNvPr>
        <xdr:cNvSpPr/>
      </xdr:nvSpPr>
      <xdr:spPr>
        <a:xfrm>
          <a:off x="6292753" y="438149"/>
          <a:ext cx="1559718" cy="451050"/>
        </a:xfrm>
        <a:prstGeom prst="roundRect">
          <a:avLst/>
        </a:prstGeom>
        <a:gradFill flip="none" rotWithShape="1">
          <a:gsLst>
            <a:gs pos="14000">
              <a:schemeClr val="accent6">
                <a:lumMod val="40000"/>
                <a:lumOff val="60000"/>
              </a:schemeClr>
            </a:gs>
            <a:gs pos="36000">
              <a:schemeClr val="accent6">
                <a:lumMod val="40000"/>
                <a:lumOff val="60000"/>
              </a:schemeClr>
            </a:gs>
            <a:gs pos="100000">
              <a:schemeClr val="accent6">
                <a:lumMod val="75000"/>
              </a:schemeClr>
            </a:gs>
          </a:gsLst>
          <a:path path="shap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>
              <a:ln w="6600">
                <a:solidFill>
                  <a:schemeClr val="accent6">
                    <a:lumMod val="20000"/>
                    <a:lumOff val="8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Trebuchet MS" panose="020B0603020202020204" pitchFamily="34" charset="0"/>
            </a:rPr>
            <a:t>Concluído</a:t>
          </a:r>
        </a:p>
      </xdr:txBody>
    </xdr:sp>
    <xdr:clientData/>
  </xdr:twoCellAnchor>
  <xdr:twoCellAnchor>
    <xdr:from>
      <xdr:col>8</xdr:col>
      <xdr:colOff>152400</xdr:colOff>
      <xdr:row>1</xdr:row>
      <xdr:rowOff>26669</xdr:rowOff>
    </xdr:from>
    <xdr:to>
      <xdr:col>9</xdr:col>
      <xdr:colOff>791175</xdr:colOff>
      <xdr:row>3</xdr:row>
      <xdr:rowOff>77669</xdr:rowOff>
    </xdr:to>
    <xdr:sp macro="[0]!transferido_Click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58C3699B-A524-4B8E-A0A6-F924232F3811}"/>
            </a:ext>
          </a:extLst>
        </xdr:cNvPr>
        <xdr:cNvSpPr/>
      </xdr:nvSpPr>
      <xdr:spPr>
        <a:xfrm>
          <a:off x="8220075" y="426719"/>
          <a:ext cx="1581750" cy="451050"/>
        </a:xfrm>
        <a:prstGeom prst="roundRect">
          <a:avLst/>
        </a:prstGeom>
        <a:gradFill flip="none" rotWithShape="1">
          <a:gsLst>
            <a:gs pos="14000">
              <a:schemeClr val="accent6">
                <a:lumMod val="40000"/>
                <a:lumOff val="60000"/>
              </a:schemeClr>
            </a:gs>
            <a:gs pos="36000">
              <a:schemeClr val="accent6">
                <a:lumMod val="40000"/>
                <a:lumOff val="60000"/>
              </a:schemeClr>
            </a:gs>
            <a:gs pos="100000">
              <a:schemeClr val="accent6">
                <a:lumMod val="75000"/>
              </a:schemeClr>
            </a:gs>
          </a:gsLst>
          <a:path path="shap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>
              <a:ln w="6600">
                <a:solidFill>
                  <a:schemeClr val="accent6">
                    <a:lumMod val="20000"/>
                    <a:lumOff val="8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Trebuchet MS" panose="020B0603020202020204" pitchFamily="34" charset="0"/>
            </a:rPr>
            <a:t>Transferido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229659</xdr:colOff>
      <xdr:row>0</xdr:row>
      <xdr:rowOff>130175</xdr:rowOff>
    </xdr:from>
    <xdr:to>
      <xdr:col>1</xdr:col>
      <xdr:colOff>95251</xdr:colOff>
      <xdr:row>2</xdr:row>
      <xdr:rowOff>101600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95698A0-A10D-4296-824C-C5720575BA4E}"/>
            </a:ext>
          </a:extLst>
        </xdr:cNvPr>
        <xdr:cNvSpPr/>
      </xdr:nvSpPr>
      <xdr:spPr>
        <a:xfrm>
          <a:off x="229659" y="130175"/>
          <a:ext cx="1114425" cy="35242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bg1"/>
              </a:solidFill>
            </a:rPr>
            <a:t>FORMAT CLEAN</a:t>
          </a:r>
        </a:p>
      </xdr:txBody>
    </xdr:sp>
    <xdr:clientData/>
  </xdr:twoCellAnchor>
  <xdr:twoCellAnchor>
    <xdr:from>
      <xdr:col>1</xdr:col>
      <xdr:colOff>593726</xdr:colOff>
      <xdr:row>0</xdr:row>
      <xdr:rowOff>130176</xdr:rowOff>
    </xdr:from>
    <xdr:to>
      <xdr:col>2</xdr:col>
      <xdr:colOff>279401</xdr:colOff>
      <xdr:row>2</xdr:row>
      <xdr:rowOff>101601</xdr:rowOff>
    </xdr:to>
    <xdr:sp macro="[0]!addHyperlin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D6B8B8A-80C8-4C1E-9D04-394D8648FEBA}"/>
            </a:ext>
          </a:extLst>
        </xdr:cNvPr>
        <xdr:cNvSpPr/>
      </xdr:nvSpPr>
      <xdr:spPr>
        <a:xfrm>
          <a:off x="1842559" y="130176"/>
          <a:ext cx="1114425" cy="35242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/>
            <a:t>HYPERLINK</a:t>
          </a:r>
        </a:p>
      </xdr:txBody>
    </xdr:sp>
    <xdr:clientData/>
  </xdr:twoCellAnchor>
  <xdr:twoCellAnchor>
    <xdr:from>
      <xdr:col>2</xdr:col>
      <xdr:colOff>756709</xdr:colOff>
      <xdr:row>0</xdr:row>
      <xdr:rowOff>132291</xdr:rowOff>
    </xdr:from>
    <xdr:to>
      <xdr:col>3</xdr:col>
      <xdr:colOff>770467</xdr:colOff>
      <xdr:row>2</xdr:row>
      <xdr:rowOff>103716</xdr:rowOff>
    </xdr:to>
    <xdr:sp macro="[0]!Sheet2.clean_verifyRe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792FD12-30D3-453D-B9BE-AF503D27F33B}"/>
            </a:ext>
          </a:extLst>
        </xdr:cNvPr>
        <xdr:cNvSpPr/>
      </xdr:nvSpPr>
      <xdr:spPr>
        <a:xfrm>
          <a:off x="3434292" y="132291"/>
          <a:ext cx="1114425" cy="352425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/>
            <a:t>CLEAN</a:t>
          </a:r>
          <a:r>
            <a:rPr lang="pt-BR" sz="1050" b="1" baseline="0"/>
            <a:t> LIST</a:t>
          </a:r>
          <a:endParaRPr lang="pt-BR" sz="105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250F-08EA-49B9-B9F6-E18B6C0608B9}">
  <sheetPr codeName="Sheet1"/>
  <dimension ref="A1:X231"/>
  <sheetViews>
    <sheetView tabSelected="1" zoomScaleNormal="100" workbookViewId="0">
      <pane ySplit="5" topLeftCell="A197" activePane="bottomLeft" state="frozen"/>
      <selection pane="bottomLeft" activeCell="E198" sqref="E198"/>
    </sheetView>
  </sheetViews>
  <sheetFormatPr defaultRowHeight="15" x14ac:dyDescent="0.25"/>
  <cols>
    <col min="1" max="1" width="17.85546875" style="27" customWidth="1"/>
    <col min="2" max="2" width="17" style="6" customWidth="1"/>
    <col min="3" max="3" width="11.5703125" style="4" customWidth="1"/>
    <col min="4" max="4" width="16.42578125" style="4" customWidth="1"/>
    <col min="5" max="5" width="18" style="3" customWidth="1"/>
    <col min="6" max="6" width="14.7109375" bestFit="1" customWidth="1"/>
    <col min="7" max="7" width="14.7109375" style="31" bestFit="1" customWidth="1"/>
    <col min="8" max="8" width="10.7109375" bestFit="1" customWidth="1"/>
    <col min="9" max="10" width="14.140625" hidden="1" customWidth="1"/>
    <col min="11" max="11" width="14.140625" bestFit="1" customWidth="1"/>
    <col min="12" max="12" width="12" bestFit="1" customWidth="1"/>
    <col min="13" max="13" width="11" bestFit="1" customWidth="1"/>
    <col min="14" max="14" width="15" customWidth="1"/>
    <col min="15" max="15" width="16.28515625" bestFit="1" customWidth="1"/>
    <col min="16" max="19" width="14.140625" bestFit="1" customWidth="1"/>
    <col min="23" max="23" width="21.5703125" bestFit="1" customWidth="1"/>
    <col min="24" max="24" width="16" bestFit="1" customWidth="1"/>
  </cols>
  <sheetData>
    <row r="1" spans="1:24" ht="31.5" x14ac:dyDescent="0.5">
      <c r="A1" s="69" t="s">
        <v>0</v>
      </c>
      <c r="B1" s="69"/>
      <c r="C1" s="69"/>
      <c r="D1" s="69"/>
      <c r="E1" s="69"/>
      <c r="F1" s="69"/>
      <c r="G1" s="70"/>
      <c r="H1" s="69"/>
      <c r="I1" s="69"/>
      <c r="J1" s="69"/>
      <c r="K1" s="69"/>
      <c r="L1" s="19">
        <f ca="1">YEAR(M1)</f>
        <v>2022</v>
      </c>
      <c r="M1" s="18">
        <f ca="1">TODAY()</f>
        <v>44628</v>
      </c>
      <c r="N1" s="17"/>
      <c r="O1" s="17"/>
      <c r="P1" s="17"/>
      <c r="Q1" s="17"/>
      <c r="R1" s="17"/>
      <c r="S1" s="17"/>
      <c r="T1" s="17"/>
      <c r="U1" s="17"/>
      <c r="V1" s="17"/>
    </row>
    <row r="2" spans="1:24" ht="15.75" x14ac:dyDescent="0.25">
      <c r="A2" s="26"/>
      <c r="B2" s="7"/>
      <c r="C2" s="8"/>
      <c r="D2" s="8"/>
      <c r="E2" s="9"/>
      <c r="F2" s="10"/>
      <c r="G2" s="29"/>
      <c r="H2" s="10"/>
      <c r="I2" s="10"/>
      <c r="J2" s="10"/>
      <c r="K2" s="16" t="s">
        <v>1</v>
      </c>
      <c r="L2" s="52">
        <f>COUNTA($A$6:$A$9992)</f>
        <v>225</v>
      </c>
      <c r="M2" s="54" t="s">
        <v>24</v>
      </c>
      <c r="N2" s="54" t="s">
        <v>25</v>
      </c>
      <c r="O2" s="54" t="s">
        <v>27</v>
      </c>
      <c r="P2" s="9"/>
      <c r="Q2" s="10"/>
      <c r="R2" s="10"/>
      <c r="S2" s="10"/>
      <c r="T2" s="10"/>
      <c r="U2" s="10"/>
      <c r="V2" s="10"/>
    </row>
    <row r="3" spans="1:24" ht="15.75" x14ac:dyDescent="0.25">
      <c r="A3" s="26"/>
      <c r="B3" s="7"/>
      <c r="C3" s="8"/>
      <c r="D3" s="8"/>
      <c r="E3" s="9"/>
      <c r="F3" s="10"/>
      <c r="G3" s="29"/>
      <c r="H3" s="10"/>
      <c r="I3" s="10"/>
      <c r="J3" s="10"/>
      <c r="K3" s="12" t="s">
        <v>2</v>
      </c>
      <c r="L3" s="13">
        <f>COUNTIF($F$6:$F$9992,"Em análise")+COUNTIF($F$6:$F$9992,"Analisando")</f>
        <v>27</v>
      </c>
      <c r="M3" s="53">
        <f ca="1">COUNTIFS($G$6:$G$9998,$M$1,$F$6:$F$9998,"&lt;&gt;Em Análise",$F$6:$F$9998,"&lt;&gt;Transferido")</f>
        <v>7</v>
      </c>
      <c r="N3" s="55"/>
      <c r="O3" s="64">
        <f>COUNTIFS($B$6:$B$9998,"Causa Mortis",$F$6:$F$9998,"Em Análise")+COUNTIFS($B$6:$B$9998,"Causa Mortis",$F$6:$F$9998,"Analisando")</f>
        <v>15</v>
      </c>
      <c r="P3" s="9"/>
      <c r="Q3" s="10"/>
      <c r="R3" s="10"/>
      <c r="S3" s="10"/>
      <c r="T3" s="10"/>
      <c r="U3" s="10"/>
      <c r="V3" s="10"/>
    </row>
    <row r="4" spans="1:24" ht="15.75" x14ac:dyDescent="0.25">
      <c r="A4" s="26"/>
      <c r="B4" s="7"/>
      <c r="C4" s="8"/>
      <c r="D4" s="8"/>
      <c r="E4" s="9"/>
      <c r="F4" s="10"/>
      <c r="G4" s="29"/>
      <c r="H4" s="10"/>
      <c r="I4" s="10"/>
      <c r="J4" s="10"/>
      <c r="K4" s="12" t="s">
        <v>3</v>
      </c>
      <c r="L4" s="13">
        <f>COUNTIF($F$6:$F$9992,"Pendente")+ COUNTIF($F$6:$F$9992,"Aguardando PG")</f>
        <v>47</v>
      </c>
      <c r="M4" s="13"/>
      <c r="N4" s="60" t="str">
        <f>IF(COUNTBLANK($N$3)=0,COUNTIFS($G$6:$G$9998,$N$3,$F$6:$F$9998,"&lt;&gt;Em Análise",$F$6:$F$9998,"&lt;&gt;Transferido"),"")</f>
        <v/>
      </c>
      <c r="O4" s="63">
        <f>COUNTIFS($B$6:$B$9998,"Doação",$F$6:$F$9998,"Em Análise")+COUNTIFS($B$6:$B$9998,"Doação",$F$6:$F$9998,"Analisando")</f>
        <v>8</v>
      </c>
      <c r="P4" s="9"/>
      <c r="Q4" s="10"/>
      <c r="R4" s="10"/>
      <c r="S4" s="10"/>
      <c r="T4" s="10"/>
      <c r="U4" s="10"/>
      <c r="V4" s="10"/>
    </row>
    <row r="5" spans="1:24" ht="15.75" x14ac:dyDescent="0.25">
      <c r="A5" s="56" t="s">
        <v>4</v>
      </c>
      <c r="B5" s="56" t="s">
        <v>5</v>
      </c>
      <c r="C5" s="57" t="s">
        <v>6</v>
      </c>
      <c r="D5" s="57" t="s">
        <v>7</v>
      </c>
      <c r="E5" s="57" t="s">
        <v>8</v>
      </c>
      <c r="F5" s="57" t="s">
        <v>9</v>
      </c>
      <c r="G5" s="58" t="s">
        <v>16</v>
      </c>
      <c r="H5" s="57"/>
      <c r="I5" s="57"/>
      <c r="J5" s="59"/>
      <c r="K5" s="14" t="s">
        <v>10</v>
      </c>
      <c r="L5" s="15">
        <f>COUNTIF($F$6:$F$9992,"Concluído")+COUNTIF($F$6:$F$9992,"Certidão Automática")</f>
        <v>126</v>
      </c>
      <c r="M5" s="15"/>
      <c r="N5" s="61" t="str">
        <f>IF(COUNTBLANK($N$3)=0,(COUNTIFS($G$6:$G$9998,$N$3,$F$6:$F$9998,"Concluído"))+(COUNTIFS($G$6:$G$9998,$N$3,$F$6:$F$9998,"Aguardando PG")),"")</f>
        <v/>
      </c>
      <c r="O5" s="65">
        <f>COUNTIFS($B$6:$B$9998,"&lt;&gt;Doação",$B$6:$B$9998,"&lt;&gt;Causa Mortis",$F$6:$F$9998,"Em Análise")+COUNTIFS($B$6:$B$9998,"&lt;&gt;Doação",$B$6:$B$9998,"&lt;&gt;Causa Mortis",$F$6:$F$9998,"Analisando")</f>
        <v>4</v>
      </c>
      <c r="P5" s="11"/>
      <c r="Q5" s="11"/>
      <c r="R5" s="11"/>
      <c r="S5" s="11"/>
      <c r="T5" s="11"/>
      <c r="U5" s="11"/>
      <c r="V5" s="11"/>
    </row>
    <row r="6" spans="1:24" x14ac:dyDescent="0.25">
      <c r="A6" s="36">
        <v>2021112151057</v>
      </c>
      <c r="B6" s="6" t="s">
        <v>11</v>
      </c>
      <c r="C6" s="4">
        <v>44163</v>
      </c>
      <c r="D6" s="4">
        <v>44343</v>
      </c>
      <c r="E6" s="3">
        <v>129120.55</v>
      </c>
      <c r="F6" t="s">
        <v>10</v>
      </c>
      <c r="G6" s="30">
        <v>44611</v>
      </c>
      <c r="J6" s="2"/>
      <c r="K6" s="2"/>
      <c r="L6" s="2"/>
      <c r="M6" s="2"/>
      <c r="N6" s="2"/>
      <c r="O6" s="2"/>
      <c r="P6" s="2"/>
      <c r="Q6" s="2"/>
      <c r="R6" s="2"/>
      <c r="S6" s="2"/>
      <c r="W6" s="66" t="s">
        <v>28</v>
      </c>
      <c r="X6" s="66" t="s">
        <v>29</v>
      </c>
    </row>
    <row r="7" spans="1:24" x14ac:dyDescent="0.25">
      <c r="A7" s="27">
        <v>2020122567093</v>
      </c>
      <c r="B7" s="6" t="s">
        <v>11</v>
      </c>
      <c r="C7" s="4">
        <v>44158</v>
      </c>
      <c r="D7" s="4">
        <v>44338</v>
      </c>
      <c r="E7" s="3">
        <v>11587.31</v>
      </c>
      <c r="F7" t="s">
        <v>32</v>
      </c>
      <c r="G7" s="30">
        <v>44614</v>
      </c>
      <c r="K7" s="1"/>
      <c r="W7" s="67" t="s">
        <v>11</v>
      </c>
      <c r="X7" s="68" t="s">
        <v>2</v>
      </c>
    </row>
    <row r="8" spans="1:24" x14ac:dyDescent="0.25">
      <c r="A8" s="36">
        <v>2022005138368</v>
      </c>
      <c r="B8" s="6" t="s">
        <v>11</v>
      </c>
      <c r="C8" s="4">
        <v>44532</v>
      </c>
      <c r="D8" s="4">
        <v>44712</v>
      </c>
      <c r="E8" s="3">
        <v>28729.01</v>
      </c>
      <c r="F8" t="s">
        <v>10</v>
      </c>
      <c r="G8" s="30">
        <v>44618</v>
      </c>
      <c r="W8" s="67" t="s">
        <v>13</v>
      </c>
      <c r="X8" s="67" t="s">
        <v>20</v>
      </c>
    </row>
    <row r="9" spans="1:24" x14ac:dyDescent="0.25">
      <c r="A9" s="36">
        <v>2018003777075</v>
      </c>
      <c r="B9" s="6" t="s">
        <v>11</v>
      </c>
      <c r="C9" s="4">
        <v>43028</v>
      </c>
      <c r="D9" s="4">
        <v>43208</v>
      </c>
      <c r="E9" s="3">
        <v>19249.580000000002</v>
      </c>
      <c r="F9" t="s">
        <v>10</v>
      </c>
      <c r="G9" s="30">
        <v>44616</v>
      </c>
      <c r="H9" s="1"/>
      <c r="I9" s="1"/>
      <c r="J9" s="2"/>
      <c r="W9" s="67" t="s">
        <v>23</v>
      </c>
      <c r="X9" s="67" t="s">
        <v>3</v>
      </c>
    </row>
    <row r="10" spans="1:24" x14ac:dyDescent="0.25">
      <c r="A10" s="36">
        <v>2021172209761</v>
      </c>
      <c r="B10" s="6" t="s">
        <v>11</v>
      </c>
      <c r="C10" s="4">
        <v>44338</v>
      </c>
      <c r="D10" s="4">
        <v>44518</v>
      </c>
      <c r="E10" s="3">
        <v>16279.5</v>
      </c>
      <c r="F10" t="s">
        <v>10</v>
      </c>
      <c r="G10" s="30">
        <v>44608</v>
      </c>
      <c r="J10" s="2"/>
      <c r="W10" s="67" t="s">
        <v>26</v>
      </c>
      <c r="X10" s="67" t="s">
        <v>12</v>
      </c>
    </row>
    <row r="11" spans="1:24" x14ac:dyDescent="0.25">
      <c r="A11" s="27">
        <v>2021213498389</v>
      </c>
      <c r="B11" s="6" t="s">
        <v>13</v>
      </c>
      <c r="D11" s="4" t="s">
        <v>14</v>
      </c>
      <c r="E11" s="3">
        <v>191401.02</v>
      </c>
      <c r="F11" t="s">
        <v>12</v>
      </c>
      <c r="G11" s="30">
        <v>44530</v>
      </c>
      <c r="J11" s="2"/>
      <c r="W11" s="67" t="s">
        <v>30</v>
      </c>
      <c r="X11" s="67" t="s">
        <v>10</v>
      </c>
    </row>
    <row r="12" spans="1:24" x14ac:dyDescent="0.25">
      <c r="A12" s="36">
        <v>2022013056979</v>
      </c>
      <c r="B12" s="6" t="s">
        <v>13</v>
      </c>
      <c r="D12" s="4" t="s">
        <v>21</v>
      </c>
      <c r="E12" s="3">
        <v>16129.23</v>
      </c>
      <c r="F12" t="s">
        <v>10</v>
      </c>
      <c r="G12" s="30">
        <v>44617</v>
      </c>
      <c r="J12" s="2"/>
      <c r="W12" s="67" t="s">
        <v>15</v>
      </c>
      <c r="X12" s="67" t="s">
        <v>32</v>
      </c>
    </row>
    <row r="13" spans="1:24" x14ac:dyDescent="0.25">
      <c r="A13" s="27">
        <v>2021222275001</v>
      </c>
      <c r="B13" s="6" t="s">
        <v>13</v>
      </c>
      <c r="D13" s="4" t="s">
        <v>14</v>
      </c>
      <c r="E13" s="3">
        <v>1441.28</v>
      </c>
      <c r="F13" t="s">
        <v>12</v>
      </c>
      <c r="G13" s="30">
        <v>44530</v>
      </c>
      <c r="J13" s="2"/>
      <c r="W13" s="67"/>
      <c r="X13" s="67" t="s">
        <v>19</v>
      </c>
    </row>
    <row r="14" spans="1:24" x14ac:dyDescent="0.25">
      <c r="A14" s="27">
        <v>2021194213361</v>
      </c>
      <c r="B14" s="6" t="s">
        <v>11</v>
      </c>
      <c r="C14" s="4">
        <v>43260</v>
      </c>
      <c r="D14" s="4">
        <v>43440</v>
      </c>
      <c r="E14" s="3">
        <v>2176.73</v>
      </c>
      <c r="F14" t="s">
        <v>12</v>
      </c>
      <c r="G14" s="30">
        <v>44530</v>
      </c>
      <c r="J14" s="2"/>
      <c r="W14" s="67"/>
      <c r="X14" s="67" t="s">
        <v>18</v>
      </c>
    </row>
    <row r="15" spans="1:24" x14ac:dyDescent="0.25">
      <c r="A15" s="36">
        <v>2022005111745</v>
      </c>
      <c r="B15" s="6" t="s">
        <v>11</v>
      </c>
      <c r="C15" s="4">
        <v>44322</v>
      </c>
      <c r="D15" s="4">
        <v>44502</v>
      </c>
      <c r="E15" s="3">
        <v>15206.53</v>
      </c>
      <c r="F15" t="s">
        <v>10</v>
      </c>
      <c r="G15" s="30">
        <v>44618</v>
      </c>
      <c r="J15" s="2"/>
      <c r="K15" s="2"/>
      <c r="L15" s="2"/>
      <c r="M15" s="2"/>
      <c r="N15" s="2"/>
      <c r="O15" s="2"/>
      <c r="P15" s="2"/>
      <c r="Q15" s="2"/>
      <c r="R15" s="2"/>
      <c r="S15" s="2"/>
      <c r="W15" s="67"/>
      <c r="X15" s="67" t="s">
        <v>22</v>
      </c>
    </row>
    <row r="16" spans="1:24" x14ac:dyDescent="0.25">
      <c r="A16" s="27">
        <v>2021152756014</v>
      </c>
      <c r="B16" s="6" t="s">
        <v>11</v>
      </c>
      <c r="C16" s="4">
        <v>43490</v>
      </c>
      <c r="D16" s="4">
        <v>43670</v>
      </c>
      <c r="E16" s="3">
        <v>4217.1400000000003</v>
      </c>
      <c r="F16" t="s">
        <v>12</v>
      </c>
      <c r="G16" s="30">
        <v>44536</v>
      </c>
      <c r="J16" s="2"/>
      <c r="X16" s="67" t="s">
        <v>31</v>
      </c>
    </row>
    <row r="17" spans="1:24" x14ac:dyDescent="0.25">
      <c r="A17" s="36">
        <v>2021225735135</v>
      </c>
      <c r="B17" s="6" t="s">
        <v>11</v>
      </c>
      <c r="C17" s="4">
        <v>44445</v>
      </c>
      <c r="D17" s="4">
        <v>44625</v>
      </c>
      <c r="E17" s="3">
        <f>12955.94-1943.39</f>
        <v>11012.550000000001</v>
      </c>
      <c r="F17" t="s">
        <v>10</v>
      </c>
      <c r="G17" s="30">
        <v>44609</v>
      </c>
      <c r="J17" s="2"/>
      <c r="X17" s="67" t="s">
        <v>33</v>
      </c>
    </row>
    <row r="18" spans="1:24" x14ac:dyDescent="0.25">
      <c r="A18" s="27">
        <v>2021152322014</v>
      </c>
      <c r="B18" s="6" t="s">
        <v>11</v>
      </c>
      <c r="C18" s="4">
        <v>44281</v>
      </c>
      <c r="D18" s="4">
        <v>44461</v>
      </c>
      <c r="E18" s="3">
        <v>11205.53</v>
      </c>
      <c r="F18" t="s">
        <v>12</v>
      </c>
      <c r="G18" s="30">
        <v>44536</v>
      </c>
      <c r="J18" s="2"/>
    </row>
    <row r="19" spans="1:24" x14ac:dyDescent="0.25">
      <c r="A19" s="36">
        <v>2021012825145</v>
      </c>
      <c r="B19" s="6" t="s">
        <v>11</v>
      </c>
      <c r="C19" s="4">
        <v>44092</v>
      </c>
      <c r="D19" s="4">
        <v>44272</v>
      </c>
      <c r="E19" s="3">
        <v>10247.219999999999</v>
      </c>
      <c r="F19" t="s">
        <v>10</v>
      </c>
      <c r="G19" s="30">
        <v>44607</v>
      </c>
    </row>
    <row r="20" spans="1:24" x14ac:dyDescent="0.25">
      <c r="A20" s="36">
        <v>2021228020153</v>
      </c>
      <c r="B20" s="6" t="s">
        <v>11</v>
      </c>
      <c r="C20" s="4">
        <v>44439</v>
      </c>
      <c r="D20" s="4">
        <v>44619</v>
      </c>
      <c r="E20" s="3">
        <v>10000</v>
      </c>
      <c r="F20" t="s">
        <v>10</v>
      </c>
      <c r="G20" s="30">
        <v>44600</v>
      </c>
    </row>
    <row r="21" spans="1:24" x14ac:dyDescent="0.25">
      <c r="A21" s="36">
        <v>2022004208389</v>
      </c>
      <c r="B21" s="6" t="s">
        <v>13</v>
      </c>
      <c r="D21" s="4" t="s">
        <v>21</v>
      </c>
      <c r="E21" s="3">
        <v>9055.2199999999993</v>
      </c>
      <c r="F21" t="s">
        <v>10</v>
      </c>
      <c r="G21" s="30">
        <v>44609</v>
      </c>
    </row>
    <row r="22" spans="1:24" x14ac:dyDescent="0.25">
      <c r="A22" s="36">
        <v>2021208163137</v>
      </c>
      <c r="B22" s="6" t="s">
        <v>11</v>
      </c>
      <c r="C22" s="4">
        <v>44291</v>
      </c>
      <c r="D22" s="4">
        <v>44471</v>
      </c>
      <c r="E22" s="3">
        <v>7359.43</v>
      </c>
      <c r="F22" t="s">
        <v>10</v>
      </c>
      <c r="G22" s="30">
        <v>44608</v>
      </c>
    </row>
    <row r="23" spans="1:24" x14ac:dyDescent="0.25">
      <c r="A23" s="36">
        <v>2022001630748</v>
      </c>
      <c r="B23" s="6" t="s">
        <v>13</v>
      </c>
      <c r="D23" s="4" t="s">
        <v>21</v>
      </c>
      <c r="E23" s="3">
        <v>5969.67</v>
      </c>
      <c r="F23" t="s">
        <v>10</v>
      </c>
      <c r="G23" s="30">
        <v>44610</v>
      </c>
    </row>
    <row r="24" spans="1:24" x14ac:dyDescent="0.25">
      <c r="A24" s="27">
        <v>2021209884695</v>
      </c>
      <c r="B24" s="6" t="s">
        <v>11</v>
      </c>
      <c r="C24" s="4">
        <v>44419</v>
      </c>
      <c r="D24" s="4">
        <v>44599</v>
      </c>
      <c r="E24" s="3">
        <v>13042.09</v>
      </c>
      <c r="F24" t="s">
        <v>12</v>
      </c>
      <c r="G24" s="30">
        <v>44540</v>
      </c>
    </row>
    <row r="25" spans="1:24" x14ac:dyDescent="0.25">
      <c r="A25" s="36">
        <v>2022009541116</v>
      </c>
      <c r="B25" s="6" t="s">
        <v>11</v>
      </c>
      <c r="C25" s="4">
        <v>44407</v>
      </c>
      <c r="D25" s="4">
        <v>44587</v>
      </c>
      <c r="E25" s="3">
        <v>5681.71</v>
      </c>
      <c r="F25" t="s">
        <v>10</v>
      </c>
      <c r="G25" s="30">
        <v>44617</v>
      </c>
    </row>
    <row r="26" spans="1:24" x14ac:dyDescent="0.25">
      <c r="A26" s="36">
        <v>2022012577045</v>
      </c>
      <c r="B26" s="6" t="s">
        <v>11</v>
      </c>
      <c r="C26" s="4">
        <v>44579</v>
      </c>
      <c r="D26" s="4">
        <v>44759</v>
      </c>
      <c r="E26" s="3">
        <v>4686.6000000000004</v>
      </c>
      <c r="F26" t="s">
        <v>10</v>
      </c>
      <c r="G26" s="30">
        <v>44608</v>
      </c>
    </row>
    <row r="27" spans="1:24" x14ac:dyDescent="0.25">
      <c r="A27" s="36">
        <v>2021207376366</v>
      </c>
      <c r="B27" s="6" t="s">
        <v>11</v>
      </c>
      <c r="C27" s="4">
        <v>44439</v>
      </c>
      <c r="D27" s="4">
        <v>44619</v>
      </c>
      <c r="E27" s="3">
        <v>3608</v>
      </c>
      <c r="F27" t="s">
        <v>10</v>
      </c>
      <c r="G27" s="30">
        <v>44614</v>
      </c>
    </row>
    <row r="28" spans="1:24" x14ac:dyDescent="0.25">
      <c r="A28" s="32">
        <v>2021232297202</v>
      </c>
      <c r="B28" s="6" t="s">
        <v>11</v>
      </c>
      <c r="C28" s="4">
        <v>44452</v>
      </c>
      <c r="D28" s="4">
        <v>44632</v>
      </c>
      <c r="E28" s="3">
        <v>2961.87</v>
      </c>
      <c r="F28" t="s">
        <v>10</v>
      </c>
      <c r="G28" s="20">
        <v>44610</v>
      </c>
    </row>
    <row r="29" spans="1:24" x14ac:dyDescent="0.25">
      <c r="A29" s="36">
        <v>2022003447304</v>
      </c>
      <c r="B29" s="6" t="s">
        <v>11</v>
      </c>
      <c r="C29" s="4">
        <v>41313</v>
      </c>
      <c r="D29" s="4">
        <v>41493</v>
      </c>
      <c r="E29" s="3">
        <v>2074.0300000000002</v>
      </c>
      <c r="F29" t="s">
        <v>10</v>
      </c>
      <c r="G29" s="30">
        <v>44609</v>
      </c>
    </row>
    <row r="30" spans="1:24" x14ac:dyDescent="0.25">
      <c r="A30" s="36">
        <v>2021239436941</v>
      </c>
      <c r="B30" s="6" t="s">
        <v>11</v>
      </c>
      <c r="C30" s="4">
        <v>42642</v>
      </c>
      <c r="D30" s="4">
        <v>42822</v>
      </c>
      <c r="E30" s="3">
        <v>1894.36</v>
      </c>
      <c r="F30" t="s">
        <v>10</v>
      </c>
      <c r="G30" s="30">
        <v>44600</v>
      </c>
    </row>
    <row r="31" spans="1:24" x14ac:dyDescent="0.25">
      <c r="A31" s="36">
        <v>2021243523977</v>
      </c>
      <c r="B31" s="6" t="s">
        <v>13</v>
      </c>
      <c r="D31" s="4" t="s">
        <v>21</v>
      </c>
      <c r="E31" s="3">
        <v>1881.41</v>
      </c>
      <c r="F31" t="s">
        <v>10</v>
      </c>
      <c r="G31" s="30">
        <v>44609</v>
      </c>
    </row>
    <row r="32" spans="1:24" x14ac:dyDescent="0.25">
      <c r="A32" s="36">
        <v>2022015279118</v>
      </c>
      <c r="B32" s="6" t="s">
        <v>13</v>
      </c>
      <c r="D32" s="4" t="s">
        <v>21</v>
      </c>
      <c r="E32" s="3">
        <v>1799.12</v>
      </c>
      <c r="F32" t="s">
        <v>10</v>
      </c>
      <c r="G32" s="30">
        <v>44619</v>
      </c>
    </row>
    <row r="33" spans="1:11" x14ac:dyDescent="0.25">
      <c r="A33" s="34">
        <v>2021233479801</v>
      </c>
      <c r="B33" s="6" t="s">
        <v>13</v>
      </c>
      <c r="D33" s="4" t="s">
        <v>14</v>
      </c>
      <c r="E33" s="3">
        <v>1602.98</v>
      </c>
      <c r="F33" t="s">
        <v>10</v>
      </c>
      <c r="G33" s="20">
        <v>44606</v>
      </c>
    </row>
    <row r="34" spans="1:11" x14ac:dyDescent="0.25">
      <c r="A34" s="36">
        <v>2022006873347</v>
      </c>
      <c r="B34" s="6" t="s">
        <v>11</v>
      </c>
      <c r="C34" s="4">
        <v>44521</v>
      </c>
      <c r="D34" s="4">
        <v>44701</v>
      </c>
      <c r="E34" s="3">
        <v>1035.44</v>
      </c>
      <c r="F34" t="s">
        <v>10</v>
      </c>
      <c r="G34" s="30">
        <v>44609</v>
      </c>
    </row>
    <row r="35" spans="1:11" x14ac:dyDescent="0.25">
      <c r="A35" s="27">
        <v>2021222471269</v>
      </c>
      <c r="B35" s="6" t="s">
        <v>11</v>
      </c>
      <c r="C35" s="4">
        <v>44474</v>
      </c>
      <c r="D35" s="4">
        <v>44654</v>
      </c>
      <c r="E35" s="3">
        <v>926.71</v>
      </c>
      <c r="F35" t="s">
        <v>10</v>
      </c>
      <c r="G35" s="30">
        <v>44600</v>
      </c>
    </row>
    <row r="36" spans="1:11" x14ac:dyDescent="0.25">
      <c r="A36" s="27">
        <v>2021208319455</v>
      </c>
      <c r="B36" s="6" t="s">
        <v>11</v>
      </c>
      <c r="C36" s="4">
        <v>44347</v>
      </c>
      <c r="D36" s="4">
        <v>44527</v>
      </c>
      <c r="E36" s="3">
        <v>697.57</v>
      </c>
      <c r="F36" t="s">
        <v>10</v>
      </c>
      <c r="G36" s="1">
        <v>44618</v>
      </c>
    </row>
    <row r="37" spans="1:11" x14ac:dyDescent="0.25">
      <c r="A37" s="27">
        <v>2021227825883</v>
      </c>
      <c r="B37" s="6" t="s">
        <v>13</v>
      </c>
      <c r="D37" s="4" t="s">
        <v>14</v>
      </c>
      <c r="E37" s="3">
        <v>74358.23</v>
      </c>
      <c r="F37" t="s">
        <v>19</v>
      </c>
      <c r="G37" s="30">
        <v>44550</v>
      </c>
    </row>
    <row r="38" spans="1:11" x14ac:dyDescent="0.25">
      <c r="A38" s="34">
        <v>2021157257491</v>
      </c>
      <c r="B38" s="6" t="s">
        <v>11</v>
      </c>
      <c r="C38" s="4">
        <v>44353</v>
      </c>
      <c r="D38" s="4">
        <v>44533</v>
      </c>
      <c r="E38" s="3">
        <v>464.06</v>
      </c>
      <c r="F38" t="s">
        <v>12</v>
      </c>
      <c r="G38" s="20">
        <v>44552</v>
      </c>
    </row>
    <row r="39" spans="1:11" x14ac:dyDescent="0.25">
      <c r="A39" s="27">
        <v>2021227692859</v>
      </c>
      <c r="B39" s="6" t="s">
        <v>11</v>
      </c>
      <c r="C39" s="4">
        <v>44390</v>
      </c>
      <c r="D39" s="4">
        <v>44570</v>
      </c>
      <c r="E39" s="3">
        <v>466.04</v>
      </c>
      <c r="F39" t="s">
        <v>10</v>
      </c>
      <c r="G39" s="30">
        <v>44602</v>
      </c>
    </row>
    <row r="40" spans="1:11" x14ac:dyDescent="0.25">
      <c r="A40" s="34">
        <v>2021214773421</v>
      </c>
      <c r="B40" s="6" t="s">
        <v>13</v>
      </c>
      <c r="D40" s="4" t="s">
        <v>14</v>
      </c>
      <c r="E40" s="3">
        <v>2702.29</v>
      </c>
      <c r="F40" t="s">
        <v>12</v>
      </c>
      <c r="G40" s="20">
        <v>44552</v>
      </c>
    </row>
    <row r="41" spans="1:11" x14ac:dyDescent="0.25">
      <c r="A41" s="27">
        <v>2021207104803</v>
      </c>
      <c r="B41" s="6" t="s">
        <v>11</v>
      </c>
      <c r="C41" s="4">
        <v>44440</v>
      </c>
      <c r="D41" s="4">
        <v>44620</v>
      </c>
      <c r="F41" t="s">
        <v>22</v>
      </c>
      <c r="G41" s="1">
        <v>44607</v>
      </c>
    </row>
    <row r="42" spans="1:11" x14ac:dyDescent="0.25">
      <c r="A42" s="36">
        <v>2021184093894</v>
      </c>
      <c r="B42" s="6" t="s">
        <v>11</v>
      </c>
      <c r="C42" s="4">
        <v>43749</v>
      </c>
      <c r="D42" s="4">
        <v>43929</v>
      </c>
      <c r="E42" s="3">
        <v>443.55</v>
      </c>
      <c r="F42" t="s">
        <v>10</v>
      </c>
      <c r="G42" s="30">
        <v>44603</v>
      </c>
    </row>
    <row r="43" spans="1:11" x14ac:dyDescent="0.25">
      <c r="A43" s="36">
        <v>2021227366633</v>
      </c>
      <c r="B43" s="6" t="s">
        <v>11</v>
      </c>
      <c r="C43" s="4">
        <v>44257</v>
      </c>
      <c r="D43" s="4">
        <v>44437</v>
      </c>
      <c r="E43" s="3">
        <v>297.55</v>
      </c>
      <c r="F43" t="s">
        <v>10</v>
      </c>
      <c r="G43" s="30">
        <v>44607</v>
      </c>
    </row>
    <row r="44" spans="1:11" x14ac:dyDescent="0.25">
      <c r="A44" s="36">
        <v>2022010416648</v>
      </c>
      <c r="B44" s="6" t="s">
        <v>11</v>
      </c>
      <c r="C44" s="4">
        <v>43262</v>
      </c>
      <c r="D44" s="4">
        <v>43442</v>
      </c>
      <c r="E44" s="3">
        <v>175.9</v>
      </c>
      <c r="F44" t="s">
        <v>10</v>
      </c>
      <c r="G44" s="30">
        <v>44610</v>
      </c>
      <c r="J44" s="2"/>
      <c r="K44" s="2"/>
    </row>
    <row r="45" spans="1:11" x14ac:dyDescent="0.25">
      <c r="A45" s="32">
        <v>2021234932622</v>
      </c>
      <c r="B45" s="6" t="s">
        <v>11</v>
      </c>
      <c r="C45" s="4">
        <v>43489</v>
      </c>
      <c r="D45" s="4">
        <v>43669</v>
      </c>
      <c r="E45" s="3">
        <v>138.30000000000001</v>
      </c>
      <c r="F45" t="s">
        <v>10</v>
      </c>
      <c r="G45" s="20">
        <v>44599</v>
      </c>
    </row>
    <row r="46" spans="1:11" x14ac:dyDescent="0.25">
      <c r="A46" s="27">
        <v>2021227939200</v>
      </c>
      <c r="B46" s="6" t="s">
        <v>11</v>
      </c>
      <c r="C46" s="4">
        <v>44452</v>
      </c>
      <c r="D46" s="4">
        <v>44632</v>
      </c>
      <c r="E46" s="3">
        <v>13224.87</v>
      </c>
      <c r="F46" t="s">
        <v>12</v>
      </c>
      <c r="G46" s="30">
        <v>44595</v>
      </c>
    </row>
    <row r="47" spans="1:11" x14ac:dyDescent="0.25">
      <c r="A47" s="32">
        <v>2021229283905</v>
      </c>
      <c r="B47" s="6" t="s">
        <v>13</v>
      </c>
      <c r="D47" s="4" t="s">
        <v>14</v>
      </c>
      <c r="E47" s="3">
        <v>3742.51</v>
      </c>
      <c r="F47" t="s">
        <v>12</v>
      </c>
      <c r="G47" s="20">
        <v>44552</v>
      </c>
    </row>
    <row r="48" spans="1:11" x14ac:dyDescent="0.25">
      <c r="A48" s="32">
        <v>2021235964269</v>
      </c>
      <c r="B48" s="6" t="s">
        <v>11</v>
      </c>
      <c r="C48" s="4">
        <v>44008</v>
      </c>
      <c r="D48" s="4">
        <v>44188</v>
      </c>
      <c r="E48" s="3">
        <v>132.16</v>
      </c>
      <c r="F48" t="s">
        <v>10</v>
      </c>
      <c r="G48" s="20">
        <v>44599</v>
      </c>
    </row>
    <row r="49" spans="1:9" x14ac:dyDescent="0.25">
      <c r="A49" s="36">
        <v>2022011639209</v>
      </c>
      <c r="B49" s="6" t="s">
        <v>13</v>
      </c>
      <c r="D49" s="4" t="s">
        <v>21</v>
      </c>
      <c r="E49" s="3">
        <v>0</v>
      </c>
      <c r="F49" t="s">
        <v>10</v>
      </c>
      <c r="G49" s="30">
        <v>44611</v>
      </c>
    </row>
    <row r="50" spans="1:9" x14ac:dyDescent="0.25">
      <c r="A50" s="34">
        <v>2022014668102</v>
      </c>
      <c r="B50" s="6" t="s">
        <v>13</v>
      </c>
      <c r="D50" s="4" t="s">
        <v>21</v>
      </c>
      <c r="E50" s="3">
        <v>0</v>
      </c>
      <c r="F50" t="s">
        <v>10</v>
      </c>
      <c r="G50" s="30">
        <v>44611</v>
      </c>
    </row>
    <row r="51" spans="1:9" x14ac:dyDescent="0.25">
      <c r="A51" s="34">
        <v>2022014616471</v>
      </c>
      <c r="B51" s="6" t="s">
        <v>13</v>
      </c>
      <c r="D51" s="4" t="s">
        <v>21</v>
      </c>
      <c r="E51" s="3">
        <v>0</v>
      </c>
      <c r="F51" t="s">
        <v>10</v>
      </c>
      <c r="G51" s="30">
        <v>44611</v>
      </c>
    </row>
    <row r="52" spans="1:9" x14ac:dyDescent="0.25">
      <c r="A52" s="34">
        <v>2022013298743</v>
      </c>
      <c r="B52" s="6" t="s">
        <v>11</v>
      </c>
      <c r="C52" s="4">
        <v>44522</v>
      </c>
      <c r="D52" s="4">
        <v>44702</v>
      </c>
      <c r="E52" s="3">
        <v>0</v>
      </c>
      <c r="F52" t="s">
        <v>10</v>
      </c>
      <c r="G52" s="30">
        <v>44609</v>
      </c>
    </row>
    <row r="53" spans="1:9" x14ac:dyDescent="0.25">
      <c r="A53" s="32">
        <v>2021237694293</v>
      </c>
      <c r="B53" s="6" t="s">
        <v>11</v>
      </c>
      <c r="C53" s="4">
        <v>44497</v>
      </c>
      <c r="D53" s="4">
        <v>44677</v>
      </c>
      <c r="E53" s="3">
        <v>42.5</v>
      </c>
      <c r="F53" t="s">
        <v>12</v>
      </c>
      <c r="G53" s="20">
        <v>44553</v>
      </c>
    </row>
    <row r="54" spans="1:9" x14ac:dyDescent="0.25">
      <c r="A54" s="34">
        <v>2022011109030</v>
      </c>
      <c r="B54" s="6" t="s">
        <v>13</v>
      </c>
      <c r="D54" s="4" t="s">
        <v>21</v>
      </c>
      <c r="E54" s="3">
        <v>0</v>
      </c>
      <c r="F54" t="s">
        <v>10</v>
      </c>
      <c r="G54" s="30">
        <v>44608</v>
      </c>
    </row>
    <row r="55" spans="1:9" x14ac:dyDescent="0.25">
      <c r="A55" s="27">
        <v>2021212550565</v>
      </c>
      <c r="B55" s="6" t="s">
        <v>13</v>
      </c>
      <c r="D55" s="4" t="s">
        <v>14</v>
      </c>
      <c r="F55" t="s">
        <v>18</v>
      </c>
      <c r="G55" s="20">
        <v>44546</v>
      </c>
      <c r="I55" s="2"/>
    </row>
    <row r="56" spans="1:9" x14ac:dyDescent="0.25">
      <c r="A56" s="36">
        <v>2022012924748</v>
      </c>
      <c r="B56" s="6" t="s">
        <v>11</v>
      </c>
      <c r="C56" s="4">
        <v>43965</v>
      </c>
      <c r="D56" s="4">
        <v>44145</v>
      </c>
      <c r="E56" s="3">
        <v>0</v>
      </c>
      <c r="F56" t="s">
        <v>10</v>
      </c>
      <c r="G56" s="30">
        <v>44608</v>
      </c>
      <c r="I56" s="2"/>
    </row>
    <row r="57" spans="1:9" x14ac:dyDescent="0.25">
      <c r="A57" s="36">
        <v>2022011787402</v>
      </c>
      <c r="B57" s="6" t="s">
        <v>13</v>
      </c>
      <c r="D57" s="4" t="s">
        <v>21</v>
      </c>
      <c r="E57" s="3">
        <v>0</v>
      </c>
      <c r="F57" t="s">
        <v>10</v>
      </c>
      <c r="G57" s="30">
        <v>44608</v>
      </c>
      <c r="I57" s="2"/>
    </row>
    <row r="58" spans="1:9" x14ac:dyDescent="0.25">
      <c r="A58" s="36">
        <v>2022012694238</v>
      </c>
      <c r="B58" s="6" t="s">
        <v>11</v>
      </c>
      <c r="C58" s="4">
        <v>34219</v>
      </c>
      <c r="D58" s="4">
        <v>34399</v>
      </c>
      <c r="E58" s="3">
        <v>0</v>
      </c>
      <c r="F58" t="s">
        <v>10</v>
      </c>
      <c r="G58" s="30">
        <v>44608</v>
      </c>
      <c r="I58" s="2"/>
    </row>
    <row r="59" spans="1:9" x14ac:dyDescent="0.25">
      <c r="A59" s="36">
        <v>2022008282672</v>
      </c>
      <c r="B59" s="6" t="s">
        <v>13</v>
      </c>
      <c r="D59" s="4" t="s">
        <v>21</v>
      </c>
      <c r="E59" s="3">
        <v>0</v>
      </c>
      <c r="F59" t="s">
        <v>10</v>
      </c>
      <c r="G59" s="30">
        <v>44607</v>
      </c>
      <c r="I59" s="2"/>
    </row>
    <row r="60" spans="1:9" x14ac:dyDescent="0.25">
      <c r="A60" s="36">
        <v>2022003847922</v>
      </c>
      <c r="B60" s="6" t="s">
        <v>11</v>
      </c>
      <c r="C60" s="4">
        <v>44539</v>
      </c>
      <c r="D60" s="4">
        <v>44719</v>
      </c>
      <c r="E60" s="3">
        <v>0</v>
      </c>
      <c r="F60" t="s">
        <v>10</v>
      </c>
      <c r="G60" s="30">
        <v>44603</v>
      </c>
      <c r="I60" s="2"/>
    </row>
    <row r="61" spans="1:9" x14ac:dyDescent="0.25">
      <c r="A61" s="36">
        <v>2022002182293</v>
      </c>
      <c r="B61" s="6" t="s">
        <v>11</v>
      </c>
      <c r="C61" s="4">
        <v>38369</v>
      </c>
      <c r="D61" s="4">
        <v>38549</v>
      </c>
      <c r="E61" s="3">
        <v>0</v>
      </c>
      <c r="F61" t="s">
        <v>10</v>
      </c>
      <c r="G61" s="30">
        <v>44601</v>
      </c>
      <c r="I61" s="2"/>
    </row>
    <row r="62" spans="1:9" x14ac:dyDescent="0.25">
      <c r="A62" s="32">
        <v>2021237844309</v>
      </c>
      <c r="B62" s="6" t="s">
        <v>13</v>
      </c>
      <c r="D62" s="4" t="s">
        <v>14</v>
      </c>
      <c r="E62" s="3">
        <v>0</v>
      </c>
      <c r="F62" t="s">
        <v>10</v>
      </c>
      <c r="G62" s="20">
        <v>44600</v>
      </c>
      <c r="I62" s="2"/>
    </row>
    <row r="63" spans="1:9" x14ac:dyDescent="0.25">
      <c r="A63" s="36">
        <v>2021239216747</v>
      </c>
      <c r="B63" s="6" t="s">
        <v>13</v>
      </c>
      <c r="D63" s="4" t="s">
        <v>14</v>
      </c>
      <c r="E63" s="3">
        <v>0</v>
      </c>
      <c r="F63" t="s">
        <v>10</v>
      </c>
      <c r="G63" s="30">
        <v>44600</v>
      </c>
      <c r="I63" s="2"/>
    </row>
    <row r="64" spans="1:9" x14ac:dyDescent="0.25">
      <c r="A64" s="36">
        <v>2021238505672</v>
      </c>
      <c r="B64" s="6" t="s">
        <v>13</v>
      </c>
      <c r="D64" s="4" t="s">
        <v>14</v>
      </c>
      <c r="E64" s="3">
        <v>0</v>
      </c>
      <c r="F64" t="s">
        <v>10</v>
      </c>
      <c r="G64" s="30">
        <v>44553</v>
      </c>
      <c r="I64" s="2"/>
    </row>
    <row r="65" spans="1:7" x14ac:dyDescent="0.25">
      <c r="A65" s="36">
        <v>2021238261706</v>
      </c>
      <c r="B65" s="6" t="s">
        <v>11</v>
      </c>
      <c r="C65" s="4">
        <v>43573</v>
      </c>
      <c r="D65" s="4">
        <v>43753</v>
      </c>
      <c r="E65" s="3">
        <v>0</v>
      </c>
      <c r="F65" t="s">
        <v>10</v>
      </c>
      <c r="G65" s="30">
        <v>44553</v>
      </c>
    </row>
    <row r="66" spans="1:7" x14ac:dyDescent="0.25">
      <c r="A66" s="28">
        <v>2021234350658</v>
      </c>
      <c r="B66" s="6" t="s">
        <v>11</v>
      </c>
      <c r="C66" s="4">
        <v>44375</v>
      </c>
      <c r="D66" s="4">
        <v>44555</v>
      </c>
      <c r="E66" s="3">
        <v>2880.33</v>
      </c>
      <c r="F66" t="s">
        <v>10</v>
      </c>
      <c r="G66" s="20">
        <v>44622</v>
      </c>
    </row>
    <row r="67" spans="1:7" x14ac:dyDescent="0.25">
      <c r="A67" s="35">
        <v>2021228787152</v>
      </c>
      <c r="B67" s="6" t="s">
        <v>13</v>
      </c>
      <c r="D67" s="4" t="s">
        <v>14</v>
      </c>
      <c r="E67" s="3">
        <v>0</v>
      </c>
      <c r="F67" t="s">
        <v>10</v>
      </c>
      <c r="G67" s="30">
        <v>44552</v>
      </c>
    </row>
    <row r="68" spans="1:7" x14ac:dyDescent="0.25">
      <c r="A68" s="33">
        <v>2021173469570</v>
      </c>
      <c r="B68" s="6" t="s">
        <v>11</v>
      </c>
      <c r="C68" s="4">
        <v>43307</v>
      </c>
      <c r="D68" s="4">
        <v>43487</v>
      </c>
      <c r="E68" s="3">
        <v>1811451.28</v>
      </c>
      <c r="F68" t="s">
        <v>32</v>
      </c>
      <c r="G68" s="30">
        <v>44617</v>
      </c>
    </row>
    <row r="69" spans="1:7" x14ac:dyDescent="0.25">
      <c r="A69" s="35">
        <v>2021219513142</v>
      </c>
      <c r="B69" s="6" t="s">
        <v>11</v>
      </c>
      <c r="C69" s="4">
        <v>44377</v>
      </c>
      <c r="D69" s="4">
        <v>44557</v>
      </c>
      <c r="E69" s="3">
        <v>1848.03</v>
      </c>
      <c r="F69" t="s">
        <v>10</v>
      </c>
      <c r="G69" s="30">
        <v>44550</v>
      </c>
    </row>
    <row r="70" spans="1:7" x14ac:dyDescent="0.25">
      <c r="A70" s="35">
        <v>2021236080216</v>
      </c>
      <c r="B70" s="6" t="s">
        <v>11</v>
      </c>
      <c r="C70" s="4">
        <v>44372</v>
      </c>
      <c r="D70" s="4">
        <v>44552</v>
      </c>
      <c r="E70" s="3">
        <v>474.36</v>
      </c>
      <c r="F70" t="s">
        <v>10</v>
      </c>
      <c r="G70" s="30">
        <v>44550</v>
      </c>
    </row>
    <row r="71" spans="1:7" x14ac:dyDescent="0.25">
      <c r="A71" s="33">
        <v>2021238439467</v>
      </c>
      <c r="B71" s="6" t="s">
        <v>11</v>
      </c>
      <c r="C71" s="4">
        <v>44350</v>
      </c>
      <c r="D71" s="4">
        <v>44530</v>
      </c>
      <c r="E71" s="3">
        <v>5865.05</v>
      </c>
      <c r="F71" t="s">
        <v>10</v>
      </c>
      <c r="G71" s="30">
        <v>44622</v>
      </c>
    </row>
    <row r="72" spans="1:7" x14ac:dyDescent="0.25">
      <c r="A72" s="35">
        <v>2021223193947</v>
      </c>
      <c r="B72" s="6" t="s">
        <v>11</v>
      </c>
      <c r="C72" s="4">
        <v>44464</v>
      </c>
      <c r="D72" s="4">
        <v>44644</v>
      </c>
      <c r="E72" s="3">
        <v>31964.1</v>
      </c>
      <c r="F72" t="s">
        <v>10</v>
      </c>
      <c r="G72" s="30">
        <v>44550</v>
      </c>
    </row>
    <row r="73" spans="1:7" x14ac:dyDescent="0.25">
      <c r="A73" s="35">
        <v>2021222477453</v>
      </c>
      <c r="B73" s="6" t="s">
        <v>11</v>
      </c>
      <c r="C73" s="4">
        <v>44204</v>
      </c>
      <c r="D73" s="4">
        <v>44384</v>
      </c>
      <c r="E73" s="3">
        <v>1643.02</v>
      </c>
      <c r="F73" t="s">
        <v>10</v>
      </c>
      <c r="G73" s="30">
        <v>44550</v>
      </c>
    </row>
    <row r="74" spans="1:7" x14ac:dyDescent="0.25">
      <c r="A74" s="35">
        <v>2022019159346</v>
      </c>
      <c r="B74" s="6" t="s">
        <v>11</v>
      </c>
      <c r="C74" s="4">
        <v>40835</v>
      </c>
      <c r="D74" s="4">
        <v>41015</v>
      </c>
      <c r="E74" s="3">
        <v>0</v>
      </c>
      <c r="F74" t="s">
        <v>10</v>
      </c>
      <c r="G74" s="30">
        <v>44618</v>
      </c>
    </row>
    <row r="75" spans="1:7" x14ac:dyDescent="0.25">
      <c r="A75" s="35">
        <v>2021233585732</v>
      </c>
      <c r="B75" s="6" t="s">
        <v>11</v>
      </c>
      <c r="C75" s="4">
        <v>44477</v>
      </c>
      <c r="D75" s="4">
        <v>44657</v>
      </c>
      <c r="E75" s="3">
        <v>20881.3</v>
      </c>
      <c r="F75" t="s">
        <v>10</v>
      </c>
      <c r="G75" s="20">
        <v>44550</v>
      </c>
    </row>
    <row r="76" spans="1:7" x14ac:dyDescent="0.25">
      <c r="A76" s="35">
        <v>2021234448615</v>
      </c>
      <c r="B76" s="6" t="s">
        <v>11</v>
      </c>
      <c r="C76" s="4">
        <v>44307</v>
      </c>
      <c r="D76" s="4">
        <v>44487</v>
      </c>
      <c r="E76" s="3">
        <v>0</v>
      </c>
      <c r="F76" t="s">
        <v>10</v>
      </c>
      <c r="G76" s="20">
        <v>44550</v>
      </c>
    </row>
    <row r="77" spans="1:7" x14ac:dyDescent="0.25">
      <c r="A77" s="35">
        <v>2021223302649</v>
      </c>
      <c r="B77" s="6" t="s">
        <v>11</v>
      </c>
      <c r="C77" s="4">
        <v>44407</v>
      </c>
      <c r="D77" s="4">
        <v>44587</v>
      </c>
      <c r="E77" s="3">
        <v>1863.07</v>
      </c>
      <c r="F77" t="s">
        <v>10</v>
      </c>
      <c r="G77" s="1">
        <v>44546</v>
      </c>
    </row>
    <row r="78" spans="1:7" x14ac:dyDescent="0.25">
      <c r="A78" s="35">
        <v>2021219172671</v>
      </c>
      <c r="B78" s="6" t="s">
        <v>11</v>
      </c>
      <c r="C78" s="4">
        <v>40851</v>
      </c>
      <c r="D78" s="4">
        <v>41031</v>
      </c>
      <c r="E78" s="3">
        <v>9140.69</v>
      </c>
      <c r="F78" t="s">
        <v>10</v>
      </c>
      <c r="G78" s="1">
        <v>44546</v>
      </c>
    </row>
    <row r="79" spans="1:7" x14ac:dyDescent="0.25">
      <c r="A79" s="35">
        <v>2022013294829</v>
      </c>
      <c r="B79" s="6" t="s">
        <v>11</v>
      </c>
      <c r="C79" s="4">
        <v>44098</v>
      </c>
      <c r="D79" s="4">
        <v>44278</v>
      </c>
      <c r="E79" s="3">
        <v>0</v>
      </c>
      <c r="F79" t="s">
        <v>10</v>
      </c>
      <c r="G79" s="30">
        <v>44614</v>
      </c>
    </row>
    <row r="80" spans="1:7" x14ac:dyDescent="0.25">
      <c r="A80" s="35">
        <v>2021233589908</v>
      </c>
      <c r="B80" s="6" t="s">
        <v>13</v>
      </c>
      <c r="D80" s="4" t="s">
        <v>14</v>
      </c>
      <c r="E80" s="3">
        <v>0</v>
      </c>
      <c r="F80" t="s">
        <v>10</v>
      </c>
      <c r="G80" s="20">
        <v>44546</v>
      </c>
    </row>
    <row r="81" spans="1:7" x14ac:dyDescent="0.25">
      <c r="A81" s="33">
        <v>2022006212341</v>
      </c>
      <c r="B81" s="6" t="s">
        <v>13</v>
      </c>
      <c r="D81" s="4" t="s">
        <v>21</v>
      </c>
      <c r="E81" s="3">
        <v>932.5</v>
      </c>
      <c r="F81" t="s">
        <v>12</v>
      </c>
      <c r="G81" s="30">
        <v>44607</v>
      </c>
    </row>
    <row r="82" spans="1:7" x14ac:dyDescent="0.25">
      <c r="A82" s="33">
        <v>2022014562495</v>
      </c>
      <c r="B82" s="6" t="s">
        <v>11</v>
      </c>
      <c r="C82" s="4">
        <v>44354</v>
      </c>
      <c r="D82" s="4">
        <v>44534</v>
      </c>
      <c r="E82" s="3">
        <v>0</v>
      </c>
      <c r="F82" t="s">
        <v>10</v>
      </c>
      <c r="G82" s="30">
        <v>44614</v>
      </c>
    </row>
    <row r="83" spans="1:7" x14ac:dyDescent="0.25">
      <c r="A83" s="33">
        <v>2021005383124</v>
      </c>
      <c r="B83" s="6" t="s">
        <v>11</v>
      </c>
      <c r="C83" s="4">
        <v>44113</v>
      </c>
      <c r="D83" s="4">
        <v>44293</v>
      </c>
      <c r="E83" s="3">
        <v>17375.41</v>
      </c>
      <c r="F83" t="s">
        <v>12</v>
      </c>
      <c r="G83" s="30">
        <v>44603</v>
      </c>
    </row>
    <row r="84" spans="1:7" x14ac:dyDescent="0.25">
      <c r="A84" s="35">
        <v>2021222957226</v>
      </c>
      <c r="B84" s="6" t="s">
        <v>11</v>
      </c>
      <c r="C84" s="4">
        <v>43809</v>
      </c>
      <c r="D84" s="4">
        <v>43989</v>
      </c>
      <c r="E84" s="3">
        <v>7839.9</v>
      </c>
      <c r="F84" t="s">
        <v>10</v>
      </c>
      <c r="G84" s="20">
        <v>44546</v>
      </c>
    </row>
    <row r="85" spans="1:7" x14ac:dyDescent="0.25">
      <c r="A85" s="35">
        <v>2021233584779</v>
      </c>
      <c r="B85" s="6" t="s">
        <v>13</v>
      </c>
      <c r="D85" s="4" t="s">
        <v>14</v>
      </c>
      <c r="E85" s="3">
        <v>0</v>
      </c>
      <c r="F85" t="s">
        <v>10</v>
      </c>
      <c r="G85" s="20">
        <v>44546</v>
      </c>
    </row>
    <row r="86" spans="1:7" x14ac:dyDescent="0.25">
      <c r="A86" s="33">
        <v>2022007150217</v>
      </c>
      <c r="B86" s="6" t="s">
        <v>13</v>
      </c>
      <c r="D86" s="4" t="s">
        <v>21</v>
      </c>
      <c r="E86" s="3">
        <v>1566.6</v>
      </c>
      <c r="F86" t="s">
        <v>12</v>
      </c>
      <c r="G86" s="30">
        <v>44607</v>
      </c>
    </row>
    <row r="87" spans="1:7" x14ac:dyDescent="0.25">
      <c r="A87" s="35">
        <v>2021221667739</v>
      </c>
      <c r="B87" s="6" t="s">
        <v>11</v>
      </c>
      <c r="C87" s="4">
        <v>44458</v>
      </c>
      <c r="D87" s="4">
        <v>44638</v>
      </c>
      <c r="E87" s="3">
        <v>5525</v>
      </c>
      <c r="F87" t="s">
        <v>10</v>
      </c>
      <c r="G87" s="20">
        <v>44546</v>
      </c>
    </row>
    <row r="88" spans="1:7" x14ac:dyDescent="0.25">
      <c r="A88" s="35">
        <v>2021228500503</v>
      </c>
      <c r="B88" s="6" t="s">
        <v>13</v>
      </c>
      <c r="D88" s="4" t="s">
        <v>14</v>
      </c>
      <c r="E88" s="3">
        <v>3955.55</v>
      </c>
      <c r="F88" t="s">
        <v>10</v>
      </c>
      <c r="G88" s="1">
        <v>44544</v>
      </c>
    </row>
    <row r="89" spans="1:7" x14ac:dyDescent="0.25">
      <c r="A89" s="33">
        <v>2022006385547</v>
      </c>
      <c r="B89" s="6" t="s">
        <v>11</v>
      </c>
      <c r="C89" s="4">
        <v>44211</v>
      </c>
      <c r="D89" s="4">
        <v>44391</v>
      </c>
      <c r="E89" s="3">
        <v>12521.93</v>
      </c>
      <c r="F89" t="s">
        <v>12</v>
      </c>
      <c r="G89" s="30">
        <v>44607</v>
      </c>
    </row>
    <row r="90" spans="1:7" x14ac:dyDescent="0.25">
      <c r="A90" s="35">
        <v>2021219949633</v>
      </c>
      <c r="B90" s="6" t="s">
        <v>11</v>
      </c>
      <c r="C90" s="4">
        <v>44440</v>
      </c>
      <c r="D90" s="4">
        <v>44620</v>
      </c>
      <c r="E90" s="3">
        <v>8500</v>
      </c>
      <c r="F90" t="s">
        <v>10</v>
      </c>
      <c r="G90" s="1">
        <v>44540</v>
      </c>
    </row>
    <row r="91" spans="1:7" x14ac:dyDescent="0.25">
      <c r="A91" s="33">
        <v>2021214105984</v>
      </c>
      <c r="B91" s="6" t="s">
        <v>13</v>
      </c>
      <c r="D91" s="4" t="s">
        <v>21</v>
      </c>
      <c r="E91" s="3">
        <v>53218.36</v>
      </c>
      <c r="F91" t="s">
        <v>12</v>
      </c>
      <c r="G91" s="30">
        <v>44603</v>
      </c>
    </row>
    <row r="92" spans="1:7" x14ac:dyDescent="0.25">
      <c r="A92" s="35">
        <v>2021212965048</v>
      </c>
      <c r="B92" s="6" t="s">
        <v>13</v>
      </c>
      <c r="D92" s="4" t="s">
        <v>14</v>
      </c>
      <c r="E92" s="3">
        <v>750</v>
      </c>
      <c r="F92" t="s">
        <v>10</v>
      </c>
      <c r="G92" s="1">
        <v>44540</v>
      </c>
    </row>
    <row r="93" spans="1:7" x14ac:dyDescent="0.25">
      <c r="A93" s="33">
        <v>2021238305100</v>
      </c>
      <c r="B93" s="6" t="s">
        <v>13</v>
      </c>
      <c r="D93" s="4" t="s">
        <v>21</v>
      </c>
      <c r="E93" s="3">
        <v>9016.84</v>
      </c>
      <c r="F93" t="s">
        <v>12</v>
      </c>
      <c r="G93" s="30">
        <v>44607</v>
      </c>
    </row>
    <row r="94" spans="1:7" x14ac:dyDescent="0.25">
      <c r="A94" s="35">
        <v>2022017359623</v>
      </c>
      <c r="B94" s="6" t="s">
        <v>11</v>
      </c>
      <c r="C94" s="4">
        <v>44517</v>
      </c>
      <c r="D94" s="4">
        <v>44697</v>
      </c>
      <c r="E94" s="3">
        <v>0</v>
      </c>
      <c r="F94" t="s">
        <v>10</v>
      </c>
      <c r="G94" s="30">
        <v>44618</v>
      </c>
    </row>
    <row r="95" spans="1:7" x14ac:dyDescent="0.25">
      <c r="A95" s="35">
        <v>2021227143723</v>
      </c>
      <c r="B95" s="6" t="s">
        <v>11</v>
      </c>
      <c r="C95" s="4">
        <v>44345</v>
      </c>
      <c r="D95" s="4">
        <v>44525</v>
      </c>
      <c r="E95" s="3">
        <v>0</v>
      </c>
      <c r="F95" t="s">
        <v>10</v>
      </c>
      <c r="G95" s="1">
        <v>44540</v>
      </c>
    </row>
    <row r="96" spans="1:7" x14ac:dyDescent="0.25">
      <c r="A96" s="35">
        <v>2022018953308</v>
      </c>
      <c r="B96" s="6" t="s">
        <v>15</v>
      </c>
      <c r="F96" t="s">
        <v>2</v>
      </c>
      <c r="G96" s="30">
        <v>44614</v>
      </c>
    </row>
    <row r="97" spans="1:7" x14ac:dyDescent="0.25">
      <c r="A97" s="35">
        <v>2021227124851</v>
      </c>
      <c r="B97" s="6" t="s">
        <v>11</v>
      </c>
      <c r="C97" s="4">
        <v>44316</v>
      </c>
      <c r="D97" s="4">
        <v>44496</v>
      </c>
      <c r="E97" s="3">
        <v>0</v>
      </c>
      <c r="F97" t="s">
        <v>10</v>
      </c>
      <c r="G97" s="1">
        <v>44540</v>
      </c>
    </row>
    <row r="98" spans="1:7" x14ac:dyDescent="0.25">
      <c r="A98" s="35">
        <v>2021150844129</v>
      </c>
      <c r="B98" s="6" t="s">
        <v>11</v>
      </c>
      <c r="C98" s="4">
        <v>44298</v>
      </c>
      <c r="D98" s="4">
        <v>44478</v>
      </c>
      <c r="E98" s="3">
        <v>20451.240000000002</v>
      </c>
      <c r="F98" t="s">
        <v>12</v>
      </c>
      <c r="G98" s="30">
        <v>44608</v>
      </c>
    </row>
    <row r="99" spans="1:7" x14ac:dyDescent="0.25">
      <c r="A99" s="35">
        <v>2021171146072</v>
      </c>
      <c r="B99" s="6" t="s">
        <v>11</v>
      </c>
      <c r="C99" s="4">
        <v>44269</v>
      </c>
      <c r="D99" s="4">
        <v>44449</v>
      </c>
      <c r="E99" s="3">
        <v>16961.38</v>
      </c>
      <c r="F99" t="s">
        <v>32</v>
      </c>
      <c r="G99" s="30">
        <v>44622</v>
      </c>
    </row>
    <row r="100" spans="1:7" x14ac:dyDescent="0.25">
      <c r="A100" s="35">
        <v>2021228827316</v>
      </c>
      <c r="B100" s="6" t="s">
        <v>11</v>
      </c>
      <c r="C100" s="4">
        <v>44486</v>
      </c>
      <c r="D100" s="4">
        <v>44666</v>
      </c>
      <c r="E100" s="3">
        <v>14695.43</v>
      </c>
      <c r="F100" t="s">
        <v>32</v>
      </c>
      <c r="G100" s="30">
        <v>44614</v>
      </c>
    </row>
    <row r="101" spans="1:7" x14ac:dyDescent="0.25">
      <c r="A101" s="35">
        <v>2021174456358</v>
      </c>
      <c r="B101" s="6" t="s">
        <v>11</v>
      </c>
      <c r="C101" s="4">
        <v>44352</v>
      </c>
      <c r="D101" s="4">
        <v>44532</v>
      </c>
      <c r="F101" t="s">
        <v>22</v>
      </c>
      <c r="G101" s="1">
        <v>44607</v>
      </c>
    </row>
    <row r="102" spans="1:7" x14ac:dyDescent="0.25">
      <c r="A102" s="35">
        <v>2022013696820</v>
      </c>
      <c r="B102" s="6" t="s">
        <v>11</v>
      </c>
      <c r="C102" s="4">
        <v>44583</v>
      </c>
      <c r="D102" s="4">
        <v>44763</v>
      </c>
      <c r="E102" s="3">
        <v>0</v>
      </c>
      <c r="F102" t="s">
        <v>10</v>
      </c>
      <c r="G102" s="30">
        <v>44618</v>
      </c>
    </row>
    <row r="103" spans="1:7" x14ac:dyDescent="0.25">
      <c r="A103" s="35">
        <v>2021217914883</v>
      </c>
      <c r="B103" s="6" t="s">
        <v>13</v>
      </c>
      <c r="D103" s="4" t="s">
        <v>14</v>
      </c>
      <c r="E103" s="3">
        <v>4655.24</v>
      </c>
      <c r="F103" t="s">
        <v>10</v>
      </c>
      <c r="G103" s="20">
        <v>44540</v>
      </c>
    </row>
    <row r="104" spans="1:7" x14ac:dyDescent="0.25">
      <c r="A104" s="33">
        <v>2021226411155</v>
      </c>
      <c r="B104" s="6" t="s">
        <v>11</v>
      </c>
      <c r="C104" s="4">
        <v>42987</v>
      </c>
      <c r="D104" s="4">
        <v>43167</v>
      </c>
      <c r="F104" t="s">
        <v>22</v>
      </c>
      <c r="G104" s="30">
        <v>44607</v>
      </c>
    </row>
    <row r="105" spans="1:7" x14ac:dyDescent="0.25">
      <c r="A105" s="33">
        <v>2022013469122</v>
      </c>
      <c r="B105" s="6" t="s">
        <v>13</v>
      </c>
      <c r="D105" s="4" t="s">
        <v>21</v>
      </c>
      <c r="E105" s="3">
        <v>3511.47</v>
      </c>
      <c r="F105" t="s">
        <v>12</v>
      </c>
      <c r="G105" s="30">
        <v>44613</v>
      </c>
    </row>
    <row r="106" spans="1:7" x14ac:dyDescent="0.25">
      <c r="A106" s="35">
        <v>2021226923385</v>
      </c>
      <c r="B106" s="6" t="s">
        <v>11</v>
      </c>
      <c r="C106" s="4">
        <v>42317</v>
      </c>
      <c r="D106" s="4">
        <v>42497</v>
      </c>
      <c r="E106" s="3">
        <v>3391.6</v>
      </c>
      <c r="F106" t="s">
        <v>10</v>
      </c>
      <c r="G106" s="1">
        <v>44540</v>
      </c>
    </row>
    <row r="107" spans="1:7" x14ac:dyDescent="0.25">
      <c r="A107" s="35">
        <v>2021233820863</v>
      </c>
      <c r="B107" s="6" t="s">
        <v>13</v>
      </c>
      <c r="D107" s="4" t="s">
        <v>21</v>
      </c>
      <c r="E107" s="3">
        <v>3779.45</v>
      </c>
      <c r="F107" t="s">
        <v>12</v>
      </c>
      <c r="G107" s="30">
        <v>44613</v>
      </c>
    </row>
    <row r="108" spans="1:7" x14ac:dyDescent="0.25">
      <c r="A108" s="35">
        <v>2021223891466</v>
      </c>
      <c r="B108" s="6" t="s">
        <v>11</v>
      </c>
      <c r="C108" s="4">
        <v>44447</v>
      </c>
      <c r="D108" s="4">
        <v>44627</v>
      </c>
      <c r="E108" s="3">
        <v>0</v>
      </c>
      <c r="F108" t="s">
        <v>10</v>
      </c>
      <c r="G108" s="20">
        <v>44539</v>
      </c>
    </row>
    <row r="109" spans="1:7" x14ac:dyDescent="0.25">
      <c r="A109" s="33">
        <v>2021208810060</v>
      </c>
      <c r="B109" s="6" t="s">
        <v>11</v>
      </c>
      <c r="F109" t="s">
        <v>18</v>
      </c>
      <c r="G109" s="30">
        <v>44607</v>
      </c>
    </row>
    <row r="110" spans="1:7" x14ac:dyDescent="0.25">
      <c r="A110" s="35">
        <v>2021224921512</v>
      </c>
      <c r="B110" s="6" t="s">
        <v>11</v>
      </c>
      <c r="C110" s="4">
        <v>44347</v>
      </c>
      <c r="D110" s="4">
        <v>44527</v>
      </c>
      <c r="E110" s="3">
        <v>0</v>
      </c>
      <c r="F110" t="s">
        <v>10</v>
      </c>
      <c r="G110" s="1">
        <v>44539</v>
      </c>
    </row>
    <row r="111" spans="1:7" x14ac:dyDescent="0.25">
      <c r="A111" s="35">
        <v>2022022026548</v>
      </c>
      <c r="B111" s="6" t="s">
        <v>11</v>
      </c>
      <c r="C111" s="4">
        <v>29586</v>
      </c>
      <c r="D111" s="4">
        <v>29766</v>
      </c>
      <c r="F111" t="s">
        <v>2</v>
      </c>
      <c r="G111" s="30">
        <v>44622</v>
      </c>
    </row>
    <row r="112" spans="1:7" x14ac:dyDescent="0.25">
      <c r="A112" s="35">
        <v>2021224167109</v>
      </c>
      <c r="B112" s="6" t="s">
        <v>13</v>
      </c>
      <c r="D112" s="4" t="s">
        <v>14</v>
      </c>
      <c r="E112" s="3">
        <v>0</v>
      </c>
      <c r="F112" t="s">
        <v>10</v>
      </c>
      <c r="G112" s="20">
        <v>44539</v>
      </c>
    </row>
    <row r="113" spans="1:7" x14ac:dyDescent="0.25">
      <c r="A113" s="35">
        <v>2021168185577</v>
      </c>
      <c r="B113" s="6" t="s">
        <v>11</v>
      </c>
      <c r="C113" s="4">
        <v>43397</v>
      </c>
      <c r="D113" s="4">
        <v>43577</v>
      </c>
      <c r="E113" s="3">
        <v>58844.84</v>
      </c>
      <c r="F113" t="s">
        <v>10</v>
      </c>
      <c r="G113" s="20">
        <v>44536</v>
      </c>
    </row>
    <row r="114" spans="1:7" x14ac:dyDescent="0.25">
      <c r="A114" s="35">
        <v>2022016377831</v>
      </c>
      <c r="B114" s="6" t="s">
        <v>11</v>
      </c>
      <c r="C114" s="4">
        <v>44570</v>
      </c>
      <c r="D114" s="4">
        <v>44750</v>
      </c>
      <c r="E114" s="3">
        <v>0</v>
      </c>
      <c r="F114" t="s">
        <v>10</v>
      </c>
      <c r="G114" s="30">
        <v>44618</v>
      </c>
    </row>
    <row r="115" spans="1:7" x14ac:dyDescent="0.25">
      <c r="A115" s="33">
        <v>2022016143139</v>
      </c>
      <c r="B115" s="6" t="s">
        <v>13</v>
      </c>
      <c r="D115" s="4" t="s">
        <v>21</v>
      </c>
      <c r="E115" s="3">
        <v>0</v>
      </c>
      <c r="F115" t="s">
        <v>10</v>
      </c>
      <c r="G115" s="30">
        <v>44614</v>
      </c>
    </row>
    <row r="116" spans="1:7" x14ac:dyDescent="0.25">
      <c r="A116" s="33">
        <v>2022011873503</v>
      </c>
      <c r="B116" s="6" t="s">
        <v>11</v>
      </c>
      <c r="C116" s="4">
        <v>42084</v>
      </c>
      <c r="D116" s="4">
        <v>42264</v>
      </c>
      <c r="E116" s="3">
        <v>15611.63</v>
      </c>
      <c r="F116" t="s">
        <v>32</v>
      </c>
      <c r="G116" s="30">
        <v>44614</v>
      </c>
    </row>
    <row r="117" spans="1:7" x14ac:dyDescent="0.25">
      <c r="A117" s="33">
        <v>2020064427620</v>
      </c>
      <c r="B117" s="6" t="s">
        <v>11</v>
      </c>
      <c r="C117" s="4">
        <v>43217</v>
      </c>
      <c r="D117" s="4">
        <v>43397</v>
      </c>
      <c r="F117" t="s">
        <v>18</v>
      </c>
      <c r="G117" s="30">
        <v>44614</v>
      </c>
    </row>
    <row r="118" spans="1:7" x14ac:dyDescent="0.25">
      <c r="A118" s="33">
        <v>2021205892073</v>
      </c>
      <c r="B118" s="6" t="s">
        <v>11</v>
      </c>
      <c r="C118" s="4">
        <v>43130</v>
      </c>
      <c r="D118" s="4">
        <v>43310</v>
      </c>
      <c r="F118" t="s">
        <v>18</v>
      </c>
      <c r="G118" s="30">
        <v>44614</v>
      </c>
    </row>
    <row r="119" spans="1:7" x14ac:dyDescent="0.25">
      <c r="A119" s="33">
        <v>2021191418183</v>
      </c>
      <c r="B119" s="6" t="s">
        <v>11</v>
      </c>
      <c r="F119" t="s">
        <v>18</v>
      </c>
      <c r="G119" s="30">
        <v>44608</v>
      </c>
    </row>
    <row r="120" spans="1:7" x14ac:dyDescent="0.25">
      <c r="A120" s="35">
        <v>2021222128190</v>
      </c>
      <c r="B120" s="6" t="s">
        <v>11</v>
      </c>
      <c r="C120" s="4">
        <v>44437</v>
      </c>
      <c r="D120" s="4">
        <v>44617</v>
      </c>
      <c r="E120" s="3">
        <v>0</v>
      </c>
      <c r="F120" t="s">
        <v>10</v>
      </c>
      <c r="G120" s="20">
        <v>44530</v>
      </c>
    </row>
    <row r="121" spans="1:7" x14ac:dyDescent="0.25">
      <c r="A121" s="33">
        <v>2022012537574</v>
      </c>
      <c r="B121" s="6" t="s">
        <v>11</v>
      </c>
      <c r="C121" s="4">
        <v>43456</v>
      </c>
      <c r="D121" s="4">
        <v>43636</v>
      </c>
      <c r="E121" s="3">
        <v>3419.85</v>
      </c>
      <c r="F121" t="s">
        <v>32</v>
      </c>
      <c r="G121" s="30">
        <v>44618</v>
      </c>
    </row>
    <row r="122" spans="1:7" x14ac:dyDescent="0.25">
      <c r="A122" s="35">
        <v>2021199091817</v>
      </c>
      <c r="B122" s="6" t="s">
        <v>11</v>
      </c>
      <c r="C122" s="4">
        <v>44399</v>
      </c>
      <c r="D122" s="4">
        <v>44579</v>
      </c>
      <c r="F122" t="s">
        <v>3</v>
      </c>
      <c r="G122" s="30">
        <v>44539</v>
      </c>
    </row>
    <row r="123" spans="1:7" x14ac:dyDescent="0.25">
      <c r="A123" s="33">
        <v>2022014640887</v>
      </c>
      <c r="B123" s="6" t="s">
        <v>11</v>
      </c>
      <c r="C123" s="4">
        <v>38586</v>
      </c>
      <c r="D123" s="4">
        <v>38766</v>
      </c>
      <c r="E123" s="3">
        <v>2552.4</v>
      </c>
      <c r="F123" t="s">
        <v>32</v>
      </c>
      <c r="G123" s="30">
        <v>44624</v>
      </c>
    </row>
    <row r="124" spans="1:7" x14ac:dyDescent="0.25">
      <c r="A124" s="35">
        <v>2021176310814</v>
      </c>
      <c r="B124" s="6" t="s">
        <v>11</v>
      </c>
      <c r="C124" s="4">
        <v>44312</v>
      </c>
      <c r="D124" s="4">
        <v>44492</v>
      </c>
      <c r="E124" s="3">
        <v>4909.75</v>
      </c>
      <c r="F124" t="s">
        <v>10</v>
      </c>
      <c r="G124" s="20">
        <v>44530</v>
      </c>
    </row>
    <row r="125" spans="1:7" x14ac:dyDescent="0.25">
      <c r="A125" s="35">
        <v>2021222139205</v>
      </c>
      <c r="B125" s="6" t="s">
        <v>11</v>
      </c>
      <c r="C125" s="4">
        <v>44350</v>
      </c>
      <c r="D125" s="4">
        <v>44530</v>
      </c>
      <c r="F125" t="s">
        <v>3</v>
      </c>
      <c r="G125" s="30">
        <v>44530</v>
      </c>
    </row>
    <row r="126" spans="1:7" x14ac:dyDescent="0.25">
      <c r="A126" s="33">
        <v>2022007593402</v>
      </c>
      <c r="B126" s="6" t="s">
        <v>11</v>
      </c>
      <c r="C126" s="4">
        <v>44501</v>
      </c>
      <c r="D126" s="4">
        <v>44681</v>
      </c>
      <c r="E126" s="3">
        <v>5932.31</v>
      </c>
      <c r="F126" t="s">
        <v>32</v>
      </c>
      <c r="G126" s="30">
        <v>44617</v>
      </c>
    </row>
    <row r="127" spans="1:7" x14ac:dyDescent="0.25">
      <c r="A127" s="33">
        <v>2022012673079</v>
      </c>
      <c r="B127" s="6" t="s">
        <v>11</v>
      </c>
      <c r="C127" s="4">
        <v>43257</v>
      </c>
      <c r="D127" s="4">
        <v>43437</v>
      </c>
      <c r="E127" s="3">
        <v>2420.7600000000002</v>
      </c>
      <c r="F127" t="s">
        <v>32</v>
      </c>
      <c r="G127" s="30">
        <v>44618</v>
      </c>
    </row>
    <row r="128" spans="1:7" x14ac:dyDescent="0.25">
      <c r="A128" s="28">
        <v>2021236199647</v>
      </c>
      <c r="B128" s="6" t="s">
        <v>11</v>
      </c>
      <c r="C128" s="4">
        <v>43673</v>
      </c>
      <c r="D128" s="4">
        <v>43853</v>
      </c>
      <c r="F128" t="s">
        <v>3</v>
      </c>
      <c r="G128" s="20">
        <v>44600</v>
      </c>
    </row>
    <row r="129" spans="1:7" x14ac:dyDescent="0.25">
      <c r="A129" s="35">
        <v>2022016900819</v>
      </c>
      <c r="B129" s="6" t="s">
        <v>11</v>
      </c>
      <c r="C129" s="4">
        <v>43794</v>
      </c>
      <c r="D129" s="4">
        <v>43974</v>
      </c>
      <c r="F129" t="s">
        <v>3</v>
      </c>
      <c r="G129" s="30">
        <v>44618</v>
      </c>
    </row>
    <row r="130" spans="1:7" x14ac:dyDescent="0.25">
      <c r="A130" s="33">
        <v>2021233676240</v>
      </c>
      <c r="B130" s="51" t="s">
        <v>23</v>
      </c>
      <c r="D130" s="4" t="s">
        <v>21</v>
      </c>
      <c r="F130" t="s">
        <v>3</v>
      </c>
      <c r="G130" s="30">
        <v>44608</v>
      </c>
    </row>
    <row r="131" spans="1:7" x14ac:dyDescent="0.25">
      <c r="A131" s="35">
        <v>2022018851785</v>
      </c>
      <c r="B131" s="6" t="s">
        <v>11</v>
      </c>
      <c r="C131" s="4">
        <v>43803</v>
      </c>
      <c r="D131" s="4">
        <v>43983</v>
      </c>
      <c r="E131" s="3">
        <v>5939.63</v>
      </c>
      <c r="F131" t="s">
        <v>32</v>
      </c>
      <c r="G131" s="30">
        <v>44618</v>
      </c>
    </row>
    <row r="132" spans="1:7" x14ac:dyDescent="0.25">
      <c r="A132" s="35">
        <v>2022007631363</v>
      </c>
      <c r="B132" s="6" t="s">
        <v>11</v>
      </c>
      <c r="C132" s="4">
        <v>43928</v>
      </c>
      <c r="D132" s="4">
        <v>44108</v>
      </c>
      <c r="F132" t="s">
        <v>3</v>
      </c>
      <c r="G132" s="30">
        <v>44618</v>
      </c>
    </row>
    <row r="133" spans="1:7" x14ac:dyDescent="0.25">
      <c r="A133" s="35">
        <v>2022016527697</v>
      </c>
      <c r="B133" s="51" t="s">
        <v>30</v>
      </c>
      <c r="D133" s="4" t="s">
        <v>21</v>
      </c>
      <c r="E133" s="3">
        <v>0</v>
      </c>
      <c r="F133" t="s">
        <v>10</v>
      </c>
      <c r="G133" s="30">
        <v>44614</v>
      </c>
    </row>
    <row r="134" spans="1:7" x14ac:dyDescent="0.25">
      <c r="A134" s="35">
        <v>2022003761751</v>
      </c>
      <c r="B134" s="6" t="s">
        <v>11</v>
      </c>
      <c r="C134" s="4">
        <v>43959</v>
      </c>
      <c r="D134" s="4">
        <v>44139</v>
      </c>
      <c r="F134" t="s">
        <v>3</v>
      </c>
      <c r="G134" s="30">
        <v>44618</v>
      </c>
    </row>
    <row r="135" spans="1:7" x14ac:dyDescent="0.25">
      <c r="A135" s="35">
        <v>2021222048561</v>
      </c>
      <c r="B135" s="6" t="s">
        <v>11</v>
      </c>
      <c r="C135" s="4">
        <v>44334</v>
      </c>
      <c r="D135" s="4">
        <v>44514</v>
      </c>
      <c r="E135" s="3">
        <v>0</v>
      </c>
      <c r="F135" t="s">
        <v>10</v>
      </c>
      <c r="G135" s="20">
        <v>44530</v>
      </c>
    </row>
    <row r="136" spans="1:7" x14ac:dyDescent="0.25">
      <c r="A136" s="35">
        <v>2021228862677</v>
      </c>
      <c r="B136" s="6" t="s">
        <v>15</v>
      </c>
      <c r="F136" t="s">
        <v>10</v>
      </c>
      <c r="G136" s="20">
        <v>44530</v>
      </c>
    </row>
    <row r="137" spans="1:7" x14ac:dyDescent="0.25">
      <c r="A137" s="35">
        <v>2021226919434</v>
      </c>
      <c r="B137" s="6" t="s">
        <v>11</v>
      </c>
      <c r="C137" s="4">
        <v>44129</v>
      </c>
      <c r="D137" s="4">
        <v>44309</v>
      </c>
      <c r="E137" s="3">
        <f>12137.84</f>
        <v>12137.84</v>
      </c>
      <c r="F137" t="s">
        <v>32</v>
      </c>
      <c r="G137" s="30">
        <v>44614</v>
      </c>
    </row>
    <row r="138" spans="1:7" x14ac:dyDescent="0.25">
      <c r="A138" s="35">
        <v>2022019561144</v>
      </c>
      <c r="B138" s="6" t="s">
        <v>11</v>
      </c>
      <c r="C138" s="4">
        <v>44242</v>
      </c>
      <c r="D138" s="4">
        <v>44422</v>
      </c>
      <c r="E138" s="3">
        <v>3795.15</v>
      </c>
      <c r="F138" t="s">
        <v>32</v>
      </c>
      <c r="G138" s="30">
        <v>44618</v>
      </c>
    </row>
    <row r="139" spans="1:7" x14ac:dyDescent="0.25">
      <c r="A139" s="35">
        <v>2021118074232</v>
      </c>
      <c r="B139" s="6" t="s">
        <v>11</v>
      </c>
      <c r="C139" s="4">
        <v>44244</v>
      </c>
      <c r="D139" s="4">
        <v>44424</v>
      </c>
      <c r="F139" t="s">
        <v>3</v>
      </c>
      <c r="G139" s="30">
        <v>44618</v>
      </c>
    </row>
    <row r="140" spans="1:7" x14ac:dyDescent="0.25">
      <c r="A140" s="33">
        <v>2021239497959</v>
      </c>
      <c r="B140" s="6" t="s">
        <v>11</v>
      </c>
      <c r="C140" s="4">
        <v>44456</v>
      </c>
      <c r="D140" s="4">
        <v>44636</v>
      </c>
      <c r="F140" t="s">
        <v>3</v>
      </c>
      <c r="G140" s="30">
        <v>44601</v>
      </c>
    </row>
    <row r="141" spans="1:7" x14ac:dyDescent="0.25">
      <c r="A141" s="33">
        <v>2022002399080</v>
      </c>
      <c r="B141" s="6" t="s">
        <v>11</v>
      </c>
      <c r="C141" s="4">
        <v>44350</v>
      </c>
      <c r="D141" s="4">
        <v>44530</v>
      </c>
      <c r="F141" t="s">
        <v>3</v>
      </c>
      <c r="G141" s="30">
        <v>44603</v>
      </c>
    </row>
    <row r="142" spans="1:7" x14ac:dyDescent="0.25">
      <c r="A142" s="35">
        <v>2022018314526</v>
      </c>
      <c r="B142" s="6" t="s">
        <v>13</v>
      </c>
      <c r="D142" s="4" t="s">
        <v>21</v>
      </c>
      <c r="E142" s="3">
        <v>0</v>
      </c>
      <c r="F142" t="s">
        <v>10</v>
      </c>
      <c r="G142" s="30">
        <v>44614</v>
      </c>
    </row>
    <row r="143" spans="1:7" x14ac:dyDescent="0.25">
      <c r="A143" s="35">
        <v>2021208204020</v>
      </c>
      <c r="B143" s="6" t="s">
        <v>11</v>
      </c>
      <c r="C143" s="4">
        <v>44261</v>
      </c>
      <c r="D143" s="4">
        <v>44441</v>
      </c>
      <c r="E143" s="3">
        <v>673</v>
      </c>
      <c r="F143" t="s">
        <v>10</v>
      </c>
      <c r="G143" s="20">
        <v>44530</v>
      </c>
    </row>
    <row r="144" spans="1:7" x14ac:dyDescent="0.25">
      <c r="A144" s="35">
        <v>2022015117061</v>
      </c>
      <c r="B144" s="6" t="s">
        <v>11</v>
      </c>
      <c r="C144" s="4">
        <v>44366</v>
      </c>
      <c r="D144" s="4">
        <v>44546</v>
      </c>
      <c r="E144" s="3">
        <v>35719.919999999998</v>
      </c>
      <c r="F144" t="s">
        <v>32</v>
      </c>
      <c r="G144" s="30">
        <v>44618</v>
      </c>
    </row>
    <row r="145" spans="1:7" x14ac:dyDescent="0.25">
      <c r="A145" s="33">
        <v>2022003392631</v>
      </c>
      <c r="B145" s="6" t="s">
        <v>11</v>
      </c>
      <c r="F145" t="s">
        <v>18</v>
      </c>
      <c r="G145" s="30">
        <v>44607</v>
      </c>
    </row>
    <row r="146" spans="1:7" x14ac:dyDescent="0.25">
      <c r="A146" s="33">
        <v>2022015288150</v>
      </c>
      <c r="B146" s="6" t="s">
        <v>11</v>
      </c>
      <c r="C146" s="4">
        <v>44420</v>
      </c>
      <c r="D146" s="4">
        <v>44600</v>
      </c>
      <c r="F146" t="s">
        <v>22</v>
      </c>
      <c r="G146" s="30">
        <v>44614</v>
      </c>
    </row>
    <row r="147" spans="1:7" x14ac:dyDescent="0.25">
      <c r="A147" s="35">
        <v>2021202863668</v>
      </c>
      <c r="B147" s="6" t="s">
        <v>11</v>
      </c>
      <c r="C147" s="4">
        <v>35988</v>
      </c>
      <c r="D147" s="4">
        <v>36168</v>
      </c>
      <c r="F147" t="s">
        <v>2</v>
      </c>
      <c r="G147" s="30">
        <v>44627</v>
      </c>
    </row>
    <row r="148" spans="1:7" x14ac:dyDescent="0.25">
      <c r="A148" s="33">
        <v>2021244192915</v>
      </c>
      <c r="B148" s="6" t="s">
        <v>11</v>
      </c>
      <c r="C148" s="4">
        <v>44470</v>
      </c>
      <c r="D148" s="4">
        <v>44650</v>
      </c>
      <c r="E148" s="3">
        <v>3217.47</v>
      </c>
      <c r="F148" t="s">
        <v>32</v>
      </c>
      <c r="G148" s="30">
        <v>44614</v>
      </c>
    </row>
    <row r="149" spans="1:7" x14ac:dyDescent="0.25">
      <c r="A149" s="35">
        <v>2021229454556</v>
      </c>
      <c r="B149" s="6" t="s">
        <v>15</v>
      </c>
      <c r="F149" t="s">
        <v>10</v>
      </c>
      <c r="G149" s="20">
        <v>44530</v>
      </c>
    </row>
    <row r="150" spans="1:7" x14ac:dyDescent="0.25">
      <c r="A150" s="33">
        <v>2021235908725</v>
      </c>
      <c r="B150" s="6" t="s">
        <v>11</v>
      </c>
      <c r="C150" s="4">
        <v>44214</v>
      </c>
      <c r="D150" s="4">
        <v>44394</v>
      </c>
      <c r="F150" t="s">
        <v>3</v>
      </c>
      <c r="G150" s="30">
        <v>44628</v>
      </c>
    </row>
    <row r="151" spans="1:7" x14ac:dyDescent="0.25">
      <c r="A151" s="33">
        <v>2022007106625</v>
      </c>
      <c r="B151" s="6" t="s">
        <v>11</v>
      </c>
      <c r="C151" s="4">
        <v>43767</v>
      </c>
      <c r="D151" s="4">
        <v>43947</v>
      </c>
      <c r="F151" t="s">
        <v>22</v>
      </c>
      <c r="G151" s="30">
        <v>44607</v>
      </c>
    </row>
    <row r="152" spans="1:7" x14ac:dyDescent="0.25">
      <c r="A152" s="33">
        <v>2021100695847</v>
      </c>
      <c r="B152" s="6" t="s">
        <v>11</v>
      </c>
      <c r="C152" s="4">
        <v>44077</v>
      </c>
      <c r="D152" s="4">
        <v>44257</v>
      </c>
      <c r="F152" t="s">
        <v>22</v>
      </c>
      <c r="G152" s="30">
        <v>44623</v>
      </c>
    </row>
    <row r="153" spans="1:7" x14ac:dyDescent="0.25">
      <c r="A153" s="34">
        <v>2022015604124</v>
      </c>
      <c r="B153" s="6" t="s">
        <v>11</v>
      </c>
      <c r="C153" s="4">
        <v>44516</v>
      </c>
      <c r="D153" s="4">
        <v>44696</v>
      </c>
      <c r="F153" t="s">
        <v>22</v>
      </c>
      <c r="G153" s="30">
        <v>44624</v>
      </c>
    </row>
    <row r="154" spans="1:7" x14ac:dyDescent="0.25">
      <c r="A154" s="27">
        <v>2022007550916</v>
      </c>
      <c r="B154" s="6" t="s">
        <v>11</v>
      </c>
      <c r="C154" s="4">
        <v>44523</v>
      </c>
      <c r="D154" s="4">
        <v>44703</v>
      </c>
      <c r="E154" s="3">
        <v>5429.84</v>
      </c>
      <c r="F154" t="s">
        <v>32</v>
      </c>
      <c r="G154" s="30">
        <v>44614</v>
      </c>
    </row>
    <row r="155" spans="1:7" x14ac:dyDescent="0.25">
      <c r="A155" s="27">
        <v>2021211348401</v>
      </c>
      <c r="B155" s="6" t="s">
        <v>11</v>
      </c>
      <c r="C155" s="4">
        <v>44084</v>
      </c>
      <c r="D155" s="4">
        <v>44264</v>
      </c>
      <c r="E155" s="3">
        <v>5093.46</v>
      </c>
      <c r="F155" t="s">
        <v>10</v>
      </c>
      <c r="G155" s="20">
        <v>44530</v>
      </c>
    </row>
    <row r="156" spans="1:7" x14ac:dyDescent="0.25">
      <c r="A156" s="34">
        <v>2022019043020</v>
      </c>
      <c r="B156" s="6" t="s">
        <v>11</v>
      </c>
      <c r="C156" s="4">
        <v>44425</v>
      </c>
      <c r="D156" s="4">
        <v>44605</v>
      </c>
      <c r="F156" t="s">
        <v>3</v>
      </c>
      <c r="G156" s="30">
        <v>44628</v>
      </c>
    </row>
    <row r="157" spans="1:7" x14ac:dyDescent="0.25">
      <c r="A157" s="34">
        <v>2021200209596</v>
      </c>
      <c r="B157" s="6" t="s">
        <v>11</v>
      </c>
      <c r="C157" s="4">
        <v>44319</v>
      </c>
      <c r="D157" s="4">
        <v>44499</v>
      </c>
      <c r="F157" t="s">
        <v>3</v>
      </c>
      <c r="G157" s="30">
        <v>44614</v>
      </c>
    </row>
    <row r="158" spans="1:7" x14ac:dyDescent="0.25">
      <c r="A158" s="36">
        <v>2021228085123</v>
      </c>
      <c r="B158" s="6" t="s">
        <v>11</v>
      </c>
      <c r="C158" s="4">
        <v>44463</v>
      </c>
      <c r="D158" s="4">
        <v>44643</v>
      </c>
      <c r="F158" t="s">
        <v>3</v>
      </c>
      <c r="G158" s="30">
        <v>44608</v>
      </c>
    </row>
    <row r="159" spans="1:7" x14ac:dyDescent="0.25">
      <c r="A159" s="36">
        <v>2022013342467</v>
      </c>
      <c r="B159" s="6" t="s">
        <v>13</v>
      </c>
      <c r="D159" s="4" t="s">
        <v>21</v>
      </c>
      <c r="F159" t="s">
        <v>19</v>
      </c>
      <c r="G159" s="30">
        <v>44624</v>
      </c>
    </row>
    <row r="160" spans="1:7" x14ac:dyDescent="0.25">
      <c r="A160" s="36">
        <v>2022013337919</v>
      </c>
      <c r="B160" s="6" t="s">
        <v>13</v>
      </c>
      <c r="D160" s="4" t="s">
        <v>21</v>
      </c>
      <c r="F160" t="s">
        <v>3</v>
      </c>
      <c r="G160" s="30">
        <v>44611</v>
      </c>
    </row>
    <row r="161" spans="1:7" x14ac:dyDescent="0.25">
      <c r="A161" s="27">
        <v>2020009246236</v>
      </c>
      <c r="B161" s="5" t="s">
        <v>11</v>
      </c>
      <c r="C161" s="4">
        <v>42883</v>
      </c>
      <c r="D161" s="4">
        <v>43063</v>
      </c>
      <c r="E161" s="3">
        <v>2556.67</v>
      </c>
      <c r="F161" t="s">
        <v>10</v>
      </c>
      <c r="G161" s="20">
        <v>44530</v>
      </c>
    </row>
    <row r="162" spans="1:7" x14ac:dyDescent="0.25">
      <c r="A162" s="27">
        <v>2021213333037</v>
      </c>
      <c r="B162" s="6" t="s">
        <v>11</v>
      </c>
      <c r="C162" s="4">
        <v>42425</v>
      </c>
      <c r="D162" s="4">
        <v>42605</v>
      </c>
      <c r="E162" s="3">
        <v>0</v>
      </c>
      <c r="F162" t="s">
        <v>10</v>
      </c>
      <c r="G162" s="20">
        <v>44530</v>
      </c>
    </row>
    <row r="163" spans="1:7" x14ac:dyDescent="0.25">
      <c r="A163" s="36">
        <v>2022015297868</v>
      </c>
      <c r="B163" s="6" t="s">
        <v>13</v>
      </c>
      <c r="D163" s="4" t="s">
        <v>21</v>
      </c>
      <c r="E163" s="3">
        <v>0</v>
      </c>
      <c r="F163" t="s">
        <v>10</v>
      </c>
      <c r="G163" s="30">
        <v>44614</v>
      </c>
    </row>
    <row r="164" spans="1:7" x14ac:dyDescent="0.25">
      <c r="A164" s="34">
        <v>2021244380886</v>
      </c>
      <c r="B164" s="6" t="s">
        <v>11</v>
      </c>
      <c r="C164" s="4">
        <v>44488</v>
      </c>
      <c r="D164" s="4">
        <v>44668</v>
      </c>
      <c r="F164" t="s">
        <v>18</v>
      </c>
      <c r="G164" s="30">
        <v>44619</v>
      </c>
    </row>
    <row r="165" spans="1:7" x14ac:dyDescent="0.25">
      <c r="A165" s="27">
        <v>2021129152108</v>
      </c>
      <c r="B165" s="6" t="s">
        <v>11</v>
      </c>
      <c r="C165" s="4">
        <v>44316</v>
      </c>
      <c r="D165" s="4">
        <v>44496</v>
      </c>
      <c r="F165" t="s">
        <v>18</v>
      </c>
      <c r="G165" s="30">
        <v>44609</v>
      </c>
    </row>
    <row r="166" spans="1:7" x14ac:dyDescent="0.25">
      <c r="A166" s="27">
        <v>2021218889106</v>
      </c>
      <c r="B166" s="6" t="s">
        <v>11</v>
      </c>
      <c r="C166" s="4">
        <v>38916</v>
      </c>
      <c r="D166" s="4">
        <v>39096</v>
      </c>
      <c r="E166" s="3">
        <v>2970.46</v>
      </c>
      <c r="F166" t="s">
        <v>10</v>
      </c>
      <c r="G166" s="20">
        <v>44530</v>
      </c>
    </row>
    <row r="167" spans="1:7" x14ac:dyDescent="0.25">
      <c r="A167" s="34">
        <v>2022013340529</v>
      </c>
      <c r="B167" s="6" t="s">
        <v>13</v>
      </c>
      <c r="D167" s="4" t="s">
        <v>21</v>
      </c>
      <c r="F167" t="s">
        <v>3</v>
      </c>
      <c r="G167" s="30">
        <v>44611</v>
      </c>
    </row>
    <row r="168" spans="1:7" x14ac:dyDescent="0.25">
      <c r="A168" s="27">
        <v>2021222506500</v>
      </c>
      <c r="B168" s="6" t="s">
        <v>13</v>
      </c>
      <c r="D168" s="4" t="s">
        <v>14</v>
      </c>
      <c r="E168" s="3">
        <v>0</v>
      </c>
      <c r="F168" t="s">
        <v>10</v>
      </c>
      <c r="G168" s="20">
        <v>44530</v>
      </c>
    </row>
    <row r="169" spans="1:7" x14ac:dyDescent="0.25">
      <c r="A169" s="36">
        <v>2022013335801</v>
      </c>
      <c r="B169" s="6" t="s">
        <v>13</v>
      </c>
      <c r="D169" s="4" t="s">
        <v>21</v>
      </c>
      <c r="F169" t="s">
        <v>19</v>
      </c>
      <c r="G169" s="30">
        <v>44628</v>
      </c>
    </row>
    <row r="170" spans="1:7" x14ac:dyDescent="0.25">
      <c r="A170" s="27">
        <v>2021223549733</v>
      </c>
      <c r="B170" s="6" t="s">
        <v>11</v>
      </c>
      <c r="C170" s="4">
        <v>39603</v>
      </c>
      <c r="D170" s="4">
        <v>39783</v>
      </c>
      <c r="E170" s="3">
        <v>6799.4</v>
      </c>
      <c r="F170" t="s">
        <v>10</v>
      </c>
      <c r="G170" s="20">
        <v>44530</v>
      </c>
    </row>
    <row r="171" spans="1:7" x14ac:dyDescent="0.25">
      <c r="A171" s="27">
        <v>2021218612392</v>
      </c>
      <c r="B171" s="6" t="s">
        <v>11</v>
      </c>
      <c r="C171" s="4">
        <v>39802</v>
      </c>
      <c r="D171" s="4">
        <v>39982</v>
      </c>
      <c r="E171" s="3">
        <v>1679.58</v>
      </c>
      <c r="F171" t="s">
        <v>10</v>
      </c>
      <c r="G171" s="20">
        <v>44530</v>
      </c>
    </row>
    <row r="172" spans="1:7" x14ac:dyDescent="0.25">
      <c r="A172" s="36">
        <v>2022010762899</v>
      </c>
      <c r="B172" s="6" t="s">
        <v>11</v>
      </c>
      <c r="F172" t="s">
        <v>18</v>
      </c>
      <c r="G172" s="30">
        <v>44609</v>
      </c>
    </row>
    <row r="173" spans="1:7" x14ac:dyDescent="0.25">
      <c r="A173" s="36">
        <v>2022008090684</v>
      </c>
      <c r="B173" s="6" t="s">
        <v>11</v>
      </c>
      <c r="F173" t="s">
        <v>18</v>
      </c>
      <c r="G173" s="30">
        <v>44609</v>
      </c>
    </row>
    <row r="174" spans="1:7" x14ac:dyDescent="0.25">
      <c r="A174" s="36">
        <v>2022013336823</v>
      </c>
      <c r="B174" s="6" t="s">
        <v>13</v>
      </c>
      <c r="D174" s="4" t="s">
        <v>21</v>
      </c>
      <c r="F174" t="s">
        <v>3</v>
      </c>
      <c r="G174" s="30">
        <v>44611</v>
      </c>
    </row>
    <row r="175" spans="1:7" x14ac:dyDescent="0.25">
      <c r="A175" s="34">
        <v>2022013289558</v>
      </c>
      <c r="B175" s="6" t="s">
        <v>11</v>
      </c>
      <c r="C175" s="4">
        <v>44576</v>
      </c>
      <c r="D175" s="4">
        <v>44756</v>
      </c>
      <c r="E175" s="3">
        <v>19983.439999999999</v>
      </c>
      <c r="F175" t="s">
        <v>32</v>
      </c>
      <c r="G175" s="30">
        <v>44618</v>
      </c>
    </row>
    <row r="176" spans="1:7" x14ac:dyDescent="0.25">
      <c r="A176" s="27">
        <v>2022017574940</v>
      </c>
      <c r="B176" s="6" t="s">
        <v>13</v>
      </c>
      <c r="D176" s="4" t="s">
        <v>21</v>
      </c>
      <c r="E176" s="3">
        <v>0</v>
      </c>
      <c r="F176" t="s">
        <v>10</v>
      </c>
      <c r="G176" s="30">
        <v>44619</v>
      </c>
    </row>
    <row r="177" spans="1:7" x14ac:dyDescent="0.25">
      <c r="A177" s="27">
        <v>2021237013997</v>
      </c>
      <c r="B177" s="6" t="s">
        <v>11</v>
      </c>
      <c r="C177" s="4">
        <v>41804</v>
      </c>
      <c r="D177" s="4">
        <v>41984</v>
      </c>
      <c r="F177" t="s">
        <v>18</v>
      </c>
      <c r="G177" s="30">
        <v>44609</v>
      </c>
    </row>
    <row r="178" spans="1:7" x14ac:dyDescent="0.25">
      <c r="A178" s="34">
        <v>2022015998441</v>
      </c>
      <c r="B178" s="6" t="s">
        <v>13</v>
      </c>
      <c r="D178" s="4" t="s">
        <v>21</v>
      </c>
      <c r="E178" s="3">
        <v>1100</v>
      </c>
      <c r="F178" t="s">
        <v>32</v>
      </c>
      <c r="G178" s="30">
        <v>44614</v>
      </c>
    </row>
    <row r="179" spans="1:7" x14ac:dyDescent="0.25">
      <c r="A179" s="27">
        <v>2022016397971</v>
      </c>
      <c r="B179" s="6" t="s">
        <v>11</v>
      </c>
      <c r="C179" s="4">
        <v>44484</v>
      </c>
      <c r="D179" s="4">
        <v>44664</v>
      </c>
      <c r="F179" t="s">
        <v>3</v>
      </c>
      <c r="G179" s="30">
        <v>44609</v>
      </c>
    </row>
    <row r="180" spans="1:7" x14ac:dyDescent="0.25">
      <c r="A180" s="36">
        <v>2022013339016</v>
      </c>
      <c r="B180" s="6" t="s">
        <v>13</v>
      </c>
      <c r="D180" s="4" t="s">
        <v>21</v>
      </c>
      <c r="F180" t="s">
        <v>3</v>
      </c>
      <c r="G180" s="30">
        <v>44611</v>
      </c>
    </row>
    <row r="181" spans="1:7" x14ac:dyDescent="0.25">
      <c r="A181" s="36">
        <v>2022006770793</v>
      </c>
      <c r="B181" s="6" t="s">
        <v>11</v>
      </c>
      <c r="C181" s="4">
        <v>44532</v>
      </c>
      <c r="D181" s="4">
        <v>44712</v>
      </c>
      <c r="F181" t="s">
        <v>18</v>
      </c>
      <c r="G181" s="30">
        <v>44619</v>
      </c>
    </row>
    <row r="182" spans="1:7" x14ac:dyDescent="0.25">
      <c r="A182" s="34">
        <v>2022011886311</v>
      </c>
      <c r="B182" s="6" t="s">
        <v>13</v>
      </c>
      <c r="D182" s="4" t="s">
        <v>21</v>
      </c>
      <c r="F182" t="s">
        <v>10</v>
      </c>
      <c r="G182" s="30">
        <v>44611</v>
      </c>
    </row>
    <row r="183" spans="1:7" x14ac:dyDescent="0.25">
      <c r="A183" s="36">
        <v>2022011537384</v>
      </c>
      <c r="B183" s="51" t="s">
        <v>15</v>
      </c>
      <c r="F183" t="s">
        <v>10</v>
      </c>
      <c r="G183" s="30">
        <v>44609</v>
      </c>
    </row>
    <row r="184" spans="1:7" x14ac:dyDescent="0.25">
      <c r="A184" s="36">
        <v>2022013982237</v>
      </c>
      <c r="B184" s="6" t="s">
        <v>15</v>
      </c>
      <c r="F184" t="s">
        <v>10</v>
      </c>
      <c r="G184" s="30">
        <v>44608</v>
      </c>
    </row>
    <row r="185" spans="1:7" x14ac:dyDescent="0.25">
      <c r="A185" s="27">
        <v>2022017949366</v>
      </c>
      <c r="B185" s="6" t="s">
        <v>11</v>
      </c>
      <c r="C185" s="4">
        <v>44575</v>
      </c>
      <c r="D185" s="4">
        <v>44755</v>
      </c>
      <c r="E185" s="3">
        <v>5827.92</v>
      </c>
      <c r="F185" t="s">
        <v>32</v>
      </c>
      <c r="G185" s="30">
        <v>44618</v>
      </c>
    </row>
    <row r="186" spans="1:7" x14ac:dyDescent="0.25">
      <c r="A186" s="27">
        <v>2022019469752</v>
      </c>
      <c r="B186" s="6" t="s">
        <v>11</v>
      </c>
      <c r="C186" s="4">
        <v>44606</v>
      </c>
      <c r="D186" s="4">
        <v>44786</v>
      </c>
      <c r="E186" s="3">
        <v>481.7</v>
      </c>
      <c r="F186" t="s">
        <v>32</v>
      </c>
      <c r="G186" s="30">
        <v>44614</v>
      </c>
    </row>
    <row r="187" spans="1:7" x14ac:dyDescent="0.25">
      <c r="A187" s="34">
        <v>2022002044800</v>
      </c>
      <c r="B187" s="51" t="s">
        <v>23</v>
      </c>
      <c r="D187" s="4" t="s">
        <v>21</v>
      </c>
      <c r="F187" t="s">
        <v>3</v>
      </c>
      <c r="G187" s="30">
        <v>44611</v>
      </c>
    </row>
    <row r="188" spans="1:7" x14ac:dyDescent="0.25">
      <c r="A188" s="34">
        <v>2022016746780</v>
      </c>
      <c r="B188" s="6" t="s">
        <v>11</v>
      </c>
      <c r="C188" s="4">
        <v>44589</v>
      </c>
      <c r="D188" s="4">
        <v>44769</v>
      </c>
      <c r="F188" t="s">
        <v>3</v>
      </c>
      <c r="G188" s="30">
        <v>44618</v>
      </c>
    </row>
    <row r="189" spans="1:7" x14ac:dyDescent="0.25">
      <c r="A189" s="27">
        <v>2022019709516</v>
      </c>
      <c r="B189" s="6" t="s">
        <v>11</v>
      </c>
      <c r="C189" s="4">
        <v>44566</v>
      </c>
      <c r="D189" s="4">
        <v>44746</v>
      </c>
      <c r="E189" s="3">
        <v>4877.83</v>
      </c>
      <c r="F189" t="s">
        <v>32</v>
      </c>
      <c r="G189" s="30">
        <v>44618</v>
      </c>
    </row>
    <row r="190" spans="1:7" x14ac:dyDescent="0.25">
      <c r="A190" s="27">
        <v>2021223537701</v>
      </c>
      <c r="B190" s="6" t="s">
        <v>11</v>
      </c>
      <c r="C190" s="4">
        <v>39494</v>
      </c>
      <c r="D190" s="4">
        <v>39674</v>
      </c>
      <c r="E190" s="3">
        <v>2069.0700000000002</v>
      </c>
      <c r="F190" t="s">
        <v>10</v>
      </c>
      <c r="G190" s="20">
        <v>44530</v>
      </c>
    </row>
    <row r="191" spans="1:7" x14ac:dyDescent="0.25">
      <c r="A191" s="36">
        <v>2022015287153</v>
      </c>
      <c r="B191" s="6" t="s">
        <v>13</v>
      </c>
      <c r="D191" s="4" t="s">
        <v>21</v>
      </c>
      <c r="E191" s="3">
        <v>7149.5</v>
      </c>
      <c r="F191" t="s">
        <v>10</v>
      </c>
      <c r="G191" s="30">
        <v>44627</v>
      </c>
    </row>
    <row r="192" spans="1:7" x14ac:dyDescent="0.25">
      <c r="A192" s="36">
        <v>2022015220539</v>
      </c>
      <c r="B192" s="6" t="s">
        <v>15</v>
      </c>
      <c r="F192" t="s">
        <v>10</v>
      </c>
      <c r="G192" s="30">
        <v>44608</v>
      </c>
    </row>
    <row r="193" spans="1:7" x14ac:dyDescent="0.25">
      <c r="A193" s="36">
        <v>2022016330036</v>
      </c>
      <c r="B193" s="6" t="s">
        <v>15</v>
      </c>
      <c r="F193" t="s">
        <v>10</v>
      </c>
      <c r="G193" s="30">
        <v>44608</v>
      </c>
    </row>
    <row r="194" spans="1:7" x14ac:dyDescent="0.25">
      <c r="A194" s="36">
        <v>2022013499871</v>
      </c>
      <c r="B194" s="51" t="s">
        <v>30</v>
      </c>
      <c r="D194" s="4" t="s">
        <v>21</v>
      </c>
      <c r="E194" s="3">
        <v>1166.6600000000001</v>
      </c>
      <c r="F194" t="s">
        <v>12</v>
      </c>
      <c r="G194" s="30">
        <v>44619</v>
      </c>
    </row>
    <row r="195" spans="1:7" x14ac:dyDescent="0.25">
      <c r="A195" s="27">
        <v>2022012511087</v>
      </c>
      <c r="B195" s="6" t="s">
        <v>15</v>
      </c>
      <c r="F195" t="s">
        <v>10</v>
      </c>
      <c r="G195" s="30">
        <v>44608</v>
      </c>
    </row>
    <row r="196" spans="1:7" x14ac:dyDescent="0.25">
      <c r="A196" s="27">
        <v>2022015242541</v>
      </c>
      <c r="B196" s="51" t="s">
        <v>23</v>
      </c>
      <c r="D196" s="4" t="s">
        <v>21</v>
      </c>
      <c r="F196" t="s">
        <v>3</v>
      </c>
      <c r="G196" s="30">
        <v>44614</v>
      </c>
    </row>
    <row r="197" spans="1:7" x14ac:dyDescent="0.25">
      <c r="A197" s="34">
        <v>2022017418522</v>
      </c>
      <c r="B197" s="6" t="s">
        <v>11</v>
      </c>
      <c r="C197" s="4">
        <v>38546</v>
      </c>
      <c r="D197" s="4">
        <v>38726</v>
      </c>
      <c r="E197" s="3">
        <v>69602.460000000006</v>
      </c>
      <c r="F197" t="s">
        <v>32</v>
      </c>
      <c r="G197" s="30">
        <v>44628</v>
      </c>
    </row>
    <row r="198" spans="1:7" x14ac:dyDescent="0.25">
      <c r="A198" s="27">
        <v>2022016850960</v>
      </c>
      <c r="B198" s="6" t="s">
        <v>13</v>
      </c>
      <c r="D198" s="4" t="s">
        <v>21</v>
      </c>
      <c r="F198" t="s">
        <v>3</v>
      </c>
      <c r="G198" s="30">
        <v>44619</v>
      </c>
    </row>
    <row r="199" spans="1:7" x14ac:dyDescent="0.25">
      <c r="A199" s="27">
        <v>2022016946509</v>
      </c>
      <c r="B199" s="6" t="s">
        <v>13</v>
      </c>
      <c r="D199" s="4" t="s">
        <v>21</v>
      </c>
      <c r="E199" s="3">
        <v>0</v>
      </c>
      <c r="F199" t="s">
        <v>10</v>
      </c>
      <c r="G199" s="30">
        <v>44624</v>
      </c>
    </row>
    <row r="200" spans="1:7" x14ac:dyDescent="0.25">
      <c r="A200" s="27">
        <v>2022022098832</v>
      </c>
      <c r="B200" s="6" t="s">
        <v>11</v>
      </c>
      <c r="C200" s="4">
        <v>39934</v>
      </c>
      <c r="D200" s="4">
        <v>40114</v>
      </c>
      <c r="F200" t="s">
        <v>2</v>
      </c>
      <c r="G200" s="30">
        <v>44622</v>
      </c>
    </row>
    <row r="201" spans="1:7" x14ac:dyDescent="0.25">
      <c r="A201" s="27">
        <v>2022021980621</v>
      </c>
      <c r="B201" s="6" t="s">
        <v>11</v>
      </c>
      <c r="C201" s="4">
        <v>42473</v>
      </c>
      <c r="D201" s="4">
        <v>42653</v>
      </c>
      <c r="F201" t="s">
        <v>2</v>
      </c>
      <c r="G201" s="30">
        <v>44622</v>
      </c>
    </row>
    <row r="202" spans="1:7" x14ac:dyDescent="0.25">
      <c r="A202" s="27">
        <v>2019088869191</v>
      </c>
      <c r="B202" s="6" t="s">
        <v>11</v>
      </c>
      <c r="C202" s="4">
        <v>42768</v>
      </c>
      <c r="D202" s="4">
        <v>42948</v>
      </c>
      <c r="F202" t="s">
        <v>2</v>
      </c>
      <c r="G202" s="30">
        <v>44622</v>
      </c>
    </row>
    <row r="203" spans="1:7" x14ac:dyDescent="0.25">
      <c r="A203" s="27">
        <v>2021243671763</v>
      </c>
      <c r="B203" s="6" t="s">
        <v>11</v>
      </c>
      <c r="C203" s="4">
        <v>43280</v>
      </c>
      <c r="D203" s="4">
        <v>43460</v>
      </c>
      <c r="F203" t="s">
        <v>2</v>
      </c>
      <c r="G203" s="30">
        <v>44627</v>
      </c>
    </row>
    <row r="204" spans="1:7" x14ac:dyDescent="0.25">
      <c r="A204" s="27">
        <v>2022019853862</v>
      </c>
      <c r="B204" s="6" t="s">
        <v>13</v>
      </c>
      <c r="D204" s="4" t="s">
        <v>21</v>
      </c>
      <c r="E204" s="3">
        <v>958.86</v>
      </c>
      <c r="F204" t="s">
        <v>12</v>
      </c>
      <c r="G204" s="30">
        <v>44618</v>
      </c>
    </row>
    <row r="205" spans="1:7" x14ac:dyDescent="0.25">
      <c r="A205" s="27">
        <v>2022011586423</v>
      </c>
      <c r="B205" s="6" t="s">
        <v>11</v>
      </c>
      <c r="C205" s="4">
        <v>44000</v>
      </c>
      <c r="D205" s="4">
        <v>44180</v>
      </c>
      <c r="F205" t="s">
        <v>2</v>
      </c>
      <c r="G205" s="30">
        <v>44623</v>
      </c>
    </row>
    <row r="206" spans="1:7" x14ac:dyDescent="0.25">
      <c r="A206" s="34">
        <v>2022016780660</v>
      </c>
      <c r="B206" s="6" t="s">
        <v>11</v>
      </c>
      <c r="C206" s="4">
        <v>44298</v>
      </c>
      <c r="D206" s="4">
        <v>44478</v>
      </c>
      <c r="F206" t="s">
        <v>2</v>
      </c>
      <c r="G206" s="30">
        <v>44609</v>
      </c>
    </row>
    <row r="207" spans="1:7" x14ac:dyDescent="0.25">
      <c r="A207" s="27">
        <v>2022021895071</v>
      </c>
      <c r="B207" s="6" t="s">
        <v>11</v>
      </c>
      <c r="C207" s="4">
        <v>44429</v>
      </c>
      <c r="D207" s="4">
        <v>44609</v>
      </c>
      <c r="F207" t="s">
        <v>2</v>
      </c>
      <c r="G207" s="30">
        <v>44623</v>
      </c>
    </row>
    <row r="208" spans="1:7" x14ac:dyDescent="0.25">
      <c r="A208" s="27">
        <v>2022022135690</v>
      </c>
      <c r="B208" s="6" t="s">
        <v>11</v>
      </c>
      <c r="C208" s="4">
        <v>44558</v>
      </c>
      <c r="D208" s="4">
        <v>44738</v>
      </c>
      <c r="F208" t="s">
        <v>2</v>
      </c>
      <c r="G208" s="30">
        <v>44622</v>
      </c>
    </row>
    <row r="209" spans="1:7" x14ac:dyDescent="0.25">
      <c r="A209" s="27">
        <v>2022014065998</v>
      </c>
      <c r="B209" s="6" t="s">
        <v>11</v>
      </c>
      <c r="C209" s="4">
        <v>44578</v>
      </c>
      <c r="D209" s="4">
        <v>44758</v>
      </c>
      <c r="F209" t="s">
        <v>3</v>
      </c>
      <c r="G209" s="30">
        <v>44627</v>
      </c>
    </row>
    <row r="210" spans="1:7" x14ac:dyDescent="0.25">
      <c r="A210" s="34">
        <v>2022014135821</v>
      </c>
      <c r="B210" s="51" t="s">
        <v>26</v>
      </c>
      <c r="C210" s="4">
        <v>37116</v>
      </c>
      <c r="D210" s="4">
        <v>37131</v>
      </c>
      <c r="E210" s="3">
        <v>2271.9299999999998</v>
      </c>
      <c r="F210" t="s">
        <v>10</v>
      </c>
      <c r="G210" s="30">
        <v>44627</v>
      </c>
    </row>
    <row r="211" spans="1:7" x14ac:dyDescent="0.25">
      <c r="A211" s="27">
        <v>2022020905722</v>
      </c>
      <c r="B211" s="6" t="s">
        <v>11</v>
      </c>
      <c r="C211" s="4">
        <v>44580</v>
      </c>
      <c r="D211" s="4">
        <v>44760</v>
      </c>
      <c r="F211" t="s">
        <v>20</v>
      </c>
      <c r="G211" s="30">
        <v>44627</v>
      </c>
    </row>
    <row r="212" spans="1:7" x14ac:dyDescent="0.25">
      <c r="A212" s="27">
        <v>2022022954402</v>
      </c>
      <c r="B212" s="6" t="s">
        <v>11</v>
      </c>
      <c r="C212" s="4">
        <v>44595</v>
      </c>
      <c r="D212" s="4">
        <v>44775</v>
      </c>
      <c r="F212" t="s">
        <v>2</v>
      </c>
      <c r="G212" s="30">
        <v>44624</v>
      </c>
    </row>
    <row r="213" spans="1:7" x14ac:dyDescent="0.25">
      <c r="A213" s="27">
        <v>2022023773886</v>
      </c>
      <c r="B213" s="6" t="s">
        <v>11</v>
      </c>
      <c r="C213" s="4">
        <v>44605</v>
      </c>
      <c r="D213" s="4">
        <v>44785</v>
      </c>
      <c r="F213" t="s">
        <v>2</v>
      </c>
      <c r="G213" s="30">
        <v>44627</v>
      </c>
    </row>
    <row r="214" spans="1:7" x14ac:dyDescent="0.25">
      <c r="A214" s="27">
        <v>2021238724668</v>
      </c>
      <c r="B214" s="6" t="s">
        <v>13</v>
      </c>
      <c r="D214" s="4" t="s">
        <v>21</v>
      </c>
      <c r="F214" t="s">
        <v>20</v>
      </c>
      <c r="G214" s="30">
        <v>44619</v>
      </c>
    </row>
    <row r="215" spans="1:7" x14ac:dyDescent="0.25">
      <c r="A215" s="27">
        <v>2022019524567</v>
      </c>
      <c r="B215" s="6" t="s">
        <v>13</v>
      </c>
      <c r="D215" s="4" t="s">
        <v>21</v>
      </c>
      <c r="F215" t="s">
        <v>2</v>
      </c>
      <c r="G215" s="30">
        <v>44617</v>
      </c>
    </row>
    <row r="216" spans="1:7" x14ac:dyDescent="0.25">
      <c r="A216" s="27">
        <v>2022006581699</v>
      </c>
      <c r="B216" s="6" t="s">
        <v>11</v>
      </c>
      <c r="C216" s="4">
        <v>44539</v>
      </c>
      <c r="D216" s="4">
        <v>44719</v>
      </c>
      <c r="F216" t="s">
        <v>18</v>
      </c>
      <c r="G216" s="30">
        <v>44624</v>
      </c>
    </row>
    <row r="217" spans="1:7" x14ac:dyDescent="0.25">
      <c r="A217" s="27">
        <v>2022015672006</v>
      </c>
      <c r="B217" s="6" t="s">
        <v>13</v>
      </c>
      <c r="D217" s="4" t="s">
        <v>21</v>
      </c>
      <c r="F217" t="s">
        <v>2</v>
      </c>
      <c r="G217" s="30">
        <v>44623</v>
      </c>
    </row>
    <row r="218" spans="1:7" x14ac:dyDescent="0.25">
      <c r="A218" s="27">
        <v>2022024028106</v>
      </c>
      <c r="B218" s="6" t="s">
        <v>13</v>
      </c>
      <c r="D218" s="4" t="s">
        <v>21</v>
      </c>
      <c r="F218" t="s">
        <v>2</v>
      </c>
      <c r="G218" s="30">
        <v>44627</v>
      </c>
    </row>
    <row r="219" spans="1:7" x14ac:dyDescent="0.25">
      <c r="A219" s="27">
        <v>2022024021373</v>
      </c>
      <c r="B219" s="6" t="s">
        <v>13</v>
      </c>
      <c r="D219" s="4" t="s">
        <v>21</v>
      </c>
      <c r="F219" t="s">
        <v>2</v>
      </c>
      <c r="G219" s="30">
        <v>44627</v>
      </c>
    </row>
    <row r="220" spans="1:7" x14ac:dyDescent="0.25">
      <c r="A220" s="27">
        <v>2022021218052</v>
      </c>
      <c r="B220" s="6" t="s">
        <v>13</v>
      </c>
      <c r="D220" s="4" t="s">
        <v>21</v>
      </c>
      <c r="F220" t="s">
        <v>2</v>
      </c>
      <c r="G220" s="30">
        <v>44627</v>
      </c>
    </row>
    <row r="221" spans="1:7" x14ac:dyDescent="0.25">
      <c r="A221" s="27">
        <v>2021165563597</v>
      </c>
      <c r="B221" s="6" t="s">
        <v>11</v>
      </c>
      <c r="C221" s="4">
        <v>43274</v>
      </c>
      <c r="D221" s="4">
        <v>43454</v>
      </c>
      <c r="F221" t="s">
        <v>18</v>
      </c>
      <c r="G221" s="30">
        <v>44627</v>
      </c>
    </row>
    <row r="222" spans="1:7" x14ac:dyDescent="0.25">
      <c r="A222" s="27">
        <v>2022016890309</v>
      </c>
      <c r="B222" s="51" t="s">
        <v>23</v>
      </c>
      <c r="C222" s="4">
        <v>43362</v>
      </c>
      <c r="D222" s="4">
        <v>43377</v>
      </c>
      <c r="F222" t="s">
        <v>2</v>
      </c>
      <c r="G222" s="30">
        <v>44613</v>
      </c>
    </row>
    <row r="223" spans="1:7" x14ac:dyDescent="0.25">
      <c r="A223" s="34">
        <v>2022015483106</v>
      </c>
      <c r="B223" s="51" t="s">
        <v>23</v>
      </c>
      <c r="C223" s="4">
        <v>44455</v>
      </c>
      <c r="D223" s="4">
        <v>44470</v>
      </c>
      <c r="F223" t="s">
        <v>2</v>
      </c>
      <c r="G223" s="30">
        <v>44608</v>
      </c>
    </row>
    <row r="224" spans="1:7" x14ac:dyDescent="0.25">
      <c r="A224" s="36">
        <v>2022011095730</v>
      </c>
      <c r="B224" s="51" t="s">
        <v>23</v>
      </c>
      <c r="D224" s="4" t="s">
        <v>21</v>
      </c>
      <c r="F224" t="s">
        <v>20</v>
      </c>
      <c r="G224" s="30">
        <v>44608</v>
      </c>
    </row>
    <row r="225" spans="1:7" x14ac:dyDescent="0.25">
      <c r="A225" s="27">
        <v>2019034460180</v>
      </c>
      <c r="B225" s="6" t="s">
        <v>11</v>
      </c>
      <c r="C225" s="4">
        <v>42334</v>
      </c>
      <c r="D225" s="4">
        <v>42514</v>
      </c>
      <c r="F225" t="s">
        <v>3</v>
      </c>
      <c r="G225" s="30">
        <v>44628</v>
      </c>
    </row>
    <row r="226" spans="1:7" x14ac:dyDescent="0.25">
      <c r="A226" s="27">
        <v>2022024323612</v>
      </c>
      <c r="B226" s="6" t="s">
        <v>13</v>
      </c>
      <c r="D226" s="4" t="s">
        <v>21</v>
      </c>
      <c r="F226" t="s">
        <v>2</v>
      </c>
      <c r="G226" s="30">
        <v>44628</v>
      </c>
    </row>
    <row r="227" spans="1:7" x14ac:dyDescent="0.25">
      <c r="A227" s="27">
        <v>2022013863491</v>
      </c>
      <c r="B227" s="6" t="s">
        <v>11</v>
      </c>
      <c r="C227" s="4">
        <v>44539</v>
      </c>
      <c r="D227" s="4">
        <v>44719</v>
      </c>
      <c r="F227" t="s">
        <v>2</v>
      </c>
      <c r="G227" s="30">
        <v>44628</v>
      </c>
    </row>
    <row r="228" spans="1:7" x14ac:dyDescent="0.25">
      <c r="A228" s="27">
        <v>2022019811698</v>
      </c>
      <c r="B228" s="6" t="s">
        <v>11</v>
      </c>
      <c r="C228" s="4">
        <v>44538</v>
      </c>
      <c r="D228" s="4">
        <v>44718</v>
      </c>
      <c r="F228" t="s">
        <v>22</v>
      </c>
      <c r="G228" s="30">
        <v>44628</v>
      </c>
    </row>
    <row r="229" spans="1:7" x14ac:dyDescent="0.25">
      <c r="A229" s="27">
        <v>2022024309369</v>
      </c>
      <c r="B229" s="6" t="s">
        <v>11</v>
      </c>
      <c r="C229" s="4">
        <v>44506</v>
      </c>
      <c r="D229" s="4">
        <v>44686</v>
      </c>
      <c r="F229" t="s">
        <v>2</v>
      </c>
      <c r="G229" s="30">
        <v>44628</v>
      </c>
    </row>
    <row r="230" spans="1:7" x14ac:dyDescent="0.25">
      <c r="A230" s="27">
        <v>2022024527498</v>
      </c>
      <c r="B230" s="6" t="s">
        <v>13</v>
      </c>
      <c r="D230" s="4" t="s">
        <v>21</v>
      </c>
      <c r="F230" t="s">
        <v>2</v>
      </c>
      <c r="G230" s="30">
        <v>44628</v>
      </c>
    </row>
    <row r="231" spans="1:7" x14ac:dyDescent="0.25">
      <c r="G231" s="30">
        <v>44628</v>
      </c>
    </row>
  </sheetData>
  <autoFilter ref="A5:G226" xr:uid="{D7864FE8-E19F-44A9-8407-6828FA6B02B8}"/>
  <mergeCells count="1">
    <mergeCell ref="A1:K1"/>
  </mergeCells>
  <conditionalFormatting sqref="D6:D1048576">
    <cfRule type="expression" priority="7" stopIfTrue="1">
      <formula>$D6=""</formula>
    </cfRule>
    <cfRule type="expression" dxfId="14" priority="9">
      <formula>AND($D6-90&gt;TODAY(),$C6&lt;&gt;"")</formula>
    </cfRule>
    <cfRule type="expression" dxfId="13" priority="13">
      <formula>$D6&lt;TODAY()</formula>
    </cfRule>
  </conditionalFormatting>
  <conditionalFormatting sqref="E6:E9992">
    <cfRule type="cellIs" dxfId="12" priority="5" operator="greaterThan">
      <formula>10000</formula>
    </cfRule>
  </conditionalFormatting>
  <conditionalFormatting sqref="F6:F9992">
    <cfRule type="cellIs" dxfId="11" priority="3" operator="equal">
      <formula>"Aguardando PG"</formula>
    </cfRule>
    <cfRule type="cellIs" dxfId="10" priority="4" operator="equal">
      <formula>"Analisando"</formula>
    </cfRule>
    <cfRule type="expression" dxfId="9" priority="11">
      <formula>OR($F6="Concluído",$F6="Certidão Automática")</formula>
    </cfRule>
    <cfRule type="cellIs" dxfId="8" priority="12" operator="equal">
      <formula>"Pendente"</formula>
    </cfRule>
    <cfRule type="cellIs" dxfId="7" priority="1" operator="equal">
      <formula>"Transferido"</formula>
    </cfRule>
  </conditionalFormatting>
  <dataValidations count="6">
    <dataValidation type="list" allowBlank="1" showInputMessage="1" showErrorMessage="1" errorTitle="ERRO" error="Opção não está na listagem. Escolha um valor correto." sqref="F2:F5" xr:uid="{11E7499D-7D78-4389-8AAD-A8C71B1159B2}">
      <formula1>"Em análise,Pendente,Concluído,Transferido,DF"</formula1>
    </dataValidation>
    <dataValidation type="list" allowBlank="1" showInputMessage="1" showErrorMessage="1" sqref="B6:B1048576" xr:uid="{BDB9BAD6-9EC2-4DFD-A920-1B57BD281282}">
      <formula1>$W$7:$W$13</formula1>
    </dataValidation>
    <dataValidation type="custom" allowBlank="1" showInputMessage="1" showErrorMessage="1" errorTitle="ERRO" error="Este protocolo já está na listagem." sqref="A5" xr:uid="{57347E58-64C8-4E4C-9D08-4F9F93005852}">
      <formula1>NOT(COUNTIF($A$6:$A$2996,$A6)&gt;1)</formula1>
    </dataValidation>
    <dataValidation allowBlank="1" showInputMessage="1" showErrorMessage="1" errorTitle="Erro" error="Opção não está na listagem" sqref="C2:D1048576" xr:uid="{5F3CD198-7A66-490A-88B5-046683B570DE}"/>
    <dataValidation type="list" allowBlank="1" showInputMessage="1" showErrorMessage="1" errorTitle="ERRO" error="Selecione um item da lista" sqref="F6:F1048576" xr:uid="{786C7EA9-8E2B-4BF0-9A43-B6287FEF34E4}">
      <formula1>$X$7:$X$18</formula1>
    </dataValidation>
    <dataValidation type="custom" allowBlank="1" showInputMessage="1" showErrorMessage="1" errorTitle="ERRO" error="O protocolo já está presente na lista." sqref="A6:A198 A201:A1048576" xr:uid="{EC1D15C5-855C-4C98-A0CE-679A6F078A57}">
      <formula1>NOT(COUNTIF($A$6:$A$9995,$A6)&gt;1)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BCF8-4E43-4CD8-8147-BDCFD5AA3F23}">
  <sheetPr codeName="Sheet2"/>
  <dimension ref="A1:ZU504"/>
  <sheetViews>
    <sheetView zoomScale="90" zoomScaleNormal="90" workbookViewId="0">
      <selection activeCell="E5" sqref="E5"/>
    </sheetView>
  </sheetViews>
  <sheetFormatPr defaultRowHeight="15" x14ac:dyDescent="0.25"/>
  <cols>
    <col min="1" max="1" width="18.7109375" style="38" customWidth="1"/>
    <col min="2" max="2" width="21.42578125" style="39" customWidth="1"/>
    <col min="3" max="3" width="16.5703125" style="40" customWidth="1"/>
    <col min="4" max="4" width="14.7109375" style="41" customWidth="1"/>
    <col min="5" max="5" width="13" style="49" customWidth="1"/>
    <col min="6" max="697" width="9.140625" style="21"/>
  </cols>
  <sheetData>
    <row r="1" spans="1:5" x14ac:dyDescent="0.25">
      <c r="A1" s="71"/>
      <c r="B1" s="72"/>
      <c r="C1" s="72"/>
      <c r="D1" s="73"/>
    </row>
    <row r="2" spans="1:5" x14ac:dyDescent="0.25">
      <c r="A2" s="74"/>
      <c r="B2" s="75"/>
      <c r="C2" s="75"/>
      <c r="D2" s="76"/>
    </row>
    <row r="3" spans="1:5" ht="15.75" thickBot="1" x14ac:dyDescent="0.3">
      <c r="A3" s="77"/>
      <c r="B3" s="78"/>
      <c r="C3" s="78"/>
      <c r="D3" s="79"/>
    </row>
    <row r="4" spans="1:5" s="21" customFormat="1" ht="16.5" thickBot="1" x14ac:dyDescent="0.3">
      <c r="A4" s="48"/>
      <c r="B4" s="45" t="s">
        <v>5</v>
      </c>
      <c r="C4" s="46" t="s">
        <v>16</v>
      </c>
      <c r="D4" s="47" t="s">
        <v>17</v>
      </c>
      <c r="E4" s="49"/>
    </row>
    <row r="5" spans="1:5" x14ac:dyDescent="0.25">
      <c r="A5" s="42">
        <v>2022017418522</v>
      </c>
      <c r="B5" s="43" t="str">
        <f>_xlfn.IFNA(IF($A5&lt;&gt;"",VLOOKUP($A5,Protocolos!$A$6:$G$9992,2,FALSE),""),"Não localizado")</f>
        <v>Causa Mortis</v>
      </c>
      <c r="C5" s="44">
        <f>_xlfn.IFNA(IF($A5&lt;&gt;"",VLOOKUP($A5,Protocolos!$A$6:$G$9992,7,FALSE),""),"Não localizado")</f>
        <v>44628</v>
      </c>
      <c r="D5" s="44" t="str">
        <f>_xlfn.IFNA(IF($A5&lt;&gt;"",VLOOKUP($A5,Protocolos!$A$6:$G$9992,6,FALSE),""),"Não localizado")</f>
        <v>Certidão Automática</v>
      </c>
      <c r="E5" s="50" t="s">
        <v>36</v>
      </c>
    </row>
    <row r="6" spans="1:5" x14ac:dyDescent="0.25">
      <c r="A6" s="42">
        <v>2022016780660</v>
      </c>
      <c r="B6" s="22" t="str">
        <f>_xlfn.IFNA(IF($A6&lt;&gt;"",VLOOKUP($A6,Protocolos!$A$6:$G$9992,2,FALSE),""),"Não localizado")</f>
        <v>Causa Mortis</v>
      </c>
      <c r="C6" s="23">
        <f>_xlfn.IFNA(IF($A6&lt;&gt;"",VLOOKUP($A6,Protocolos!$A$6:$G$9992,7,FALSE),""),"Não localizado")</f>
        <v>44609</v>
      </c>
      <c r="D6" s="23" t="str">
        <f>_xlfn.IFNA(IF($A6&lt;&gt;"",VLOOKUP($A6,Protocolos!$A$6:$G$9992,6,FALSE),""),"Não localizado")</f>
        <v>Em análise</v>
      </c>
      <c r="E6" s="50" t="s">
        <v>37</v>
      </c>
    </row>
    <row r="7" spans="1:5" x14ac:dyDescent="0.25">
      <c r="A7" s="24">
        <v>2021238724668</v>
      </c>
      <c r="B7" s="22" t="str">
        <f>_xlfn.IFNA(IF($A7&lt;&gt;"",VLOOKUP($A7,Protocolos!$A$6:$G$9992,2,FALSE),""),"Não localizado")</f>
        <v>Doação</v>
      </c>
      <c r="C7" s="23">
        <f>_xlfn.IFNA(IF($A7&lt;&gt;"",VLOOKUP($A7,Protocolos!$A$6:$G$9992,7,FALSE),""),"Não localizado")</f>
        <v>44619</v>
      </c>
      <c r="D7" s="23" t="str">
        <f>_xlfn.IFNA(IF($A7&lt;&gt;"",VLOOKUP($A7,Protocolos!$A$6:$G$9992,6,FALSE),""),"Não localizado")</f>
        <v>Analisando</v>
      </c>
      <c r="E7" s="50" t="s">
        <v>38</v>
      </c>
    </row>
    <row r="8" spans="1:5" x14ac:dyDescent="0.25">
      <c r="A8" s="24">
        <v>2022022098832</v>
      </c>
      <c r="B8" s="22" t="str">
        <f>_xlfn.IFNA(IF($A8&lt;&gt;"",VLOOKUP($A8,Protocolos!$A$6:$G$9992,2,FALSE),""),"Não localizado")</f>
        <v>Causa Mortis</v>
      </c>
      <c r="C8" s="23">
        <f>_xlfn.IFNA(IF($A8&lt;&gt;"",VLOOKUP($A8,Protocolos!$A$6:$G$9992,7,FALSE),""),"Não localizado")</f>
        <v>44622</v>
      </c>
      <c r="D8" s="23" t="str">
        <f>_xlfn.IFNA(IF($A8&lt;&gt;"",VLOOKUP($A8,Protocolos!$A$6:$G$9992,6,FALSE),""),"Não localizado")</f>
        <v>Em análise</v>
      </c>
      <c r="E8" s="50" t="s">
        <v>39</v>
      </c>
    </row>
    <row r="9" spans="1:5" x14ac:dyDescent="0.25">
      <c r="A9" s="24">
        <v>2022022026548</v>
      </c>
      <c r="B9" s="22" t="str">
        <f>_xlfn.IFNA(IF($A9&lt;&gt;"",VLOOKUP($A9,Protocolos!$A$6:$G$9992,2,FALSE),""),"Não localizado")</f>
        <v>Causa Mortis</v>
      </c>
      <c r="C9" s="23">
        <f>_xlfn.IFNA(IF($A9&lt;&gt;"",VLOOKUP($A9,Protocolos!$A$6:$G$9992,7,FALSE),""),"Não localizado")</f>
        <v>44622</v>
      </c>
      <c r="D9" s="23" t="str">
        <f>_xlfn.IFNA(IF($A9&lt;&gt;"",VLOOKUP($A9,Protocolos!$A$6:$G$9992,6,FALSE),""),"Não localizado")</f>
        <v>Em análise</v>
      </c>
      <c r="E9" s="50" t="s">
        <v>40</v>
      </c>
    </row>
    <row r="10" spans="1:5" x14ac:dyDescent="0.25">
      <c r="A10" s="37">
        <v>2022022135690</v>
      </c>
      <c r="B10" s="22" t="str">
        <f>_xlfn.IFNA(IF($A10&lt;&gt;"",VLOOKUP($A10,Protocolos!$A$6:$G$9992,2,FALSE),""),"Não localizado")</f>
        <v>Causa Mortis</v>
      </c>
      <c r="C10" s="23">
        <f>_xlfn.IFNA(IF($A10&lt;&gt;"",VLOOKUP($A10,Protocolos!$A$6:$G$9992,7,FALSE),""),"Não localizado")</f>
        <v>44622</v>
      </c>
      <c r="D10" s="23" t="str">
        <f>_xlfn.IFNA(IF($A10&lt;&gt;"",VLOOKUP($A10,Protocolos!$A$6:$G$9992,6,FALSE),""),"Não localizado")</f>
        <v>Em análise</v>
      </c>
      <c r="E10" s="50" t="s">
        <v>41</v>
      </c>
    </row>
    <row r="11" spans="1:5" x14ac:dyDescent="0.25">
      <c r="A11" s="37">
        <v>2022021980621</v>
      </c>
      <c r="B11" s="22" t="str">
        <f>_xlfn.IFNA(IF($A11&lt;&gt;"",VLOOKUP($A11,Protocolos!$A$6:$G$9992,2,FALSE),""),"Não localizado")</f>
        <v>Causa Mortis</v>
      </c>
      <c r="C11" s="23">
        <f>_xlfn.IFNA(IF($A11&lt;&gt;"",VLOOKUP($A11,Protocolos!$A$6:$G$9992,7,FALSE),""),"Não localizado")</f>
        <v>44622</v>
      </c>
      <c r="D11" s="23" t="str">
        <f>_xlfn.IFNA(IF($A11&lt;&gt;"",VLOOKUP($A11,Protocolos!$A$6:$G$9992,6,FALSE),""),"Não localizado")</f>
        <v>Em análise</v>
      </c>
      <c r="E11" s="50" t="s">
        <v>42</v>
      </c>
    </row>
    <row r="12" spans="1:5" x14ac:dyDescent="0.25">
      <c r="A12" s="24">
        <v>2019088869191</v>
      </c>
      <c r="B12" s="22" t="str">
        <f>_xlfn.IFNA(IF($A12&lt;&gt;"",VLOOKUP($A12,Protocolos!$A$6:$G$9992,2,FALSE),""),"Não localizado")</f>
        <v>Causa Mortis</v>
      </c>
      <c r="C12" s="23">
        <f>_xlfn.IFNA(IF($A12&lt;&gt;"",VLOOKUP($A12,Protocolos!$A$6:$G$9992,7,FALSE),""),"Não localizado")</f>
        <v>44622</v>
      </c>
      <c r="D12" s="23" t="str">
        <f>_xlfn.IFNA(IF($A12&lt;&gt;"",VLOOKUP($A12,Protocolos!$A$6:$G$9992,6,FALSE),""),"Não localizado")</f>
        <v>Em análise</v>
      </c>
      <c r="E12" s="50" t="s">
        <v>43</v>
      </c>
    </row>
    <row r="13" spans="1:5" x14ac:dyDescent="0.25">
      <c r="A13" s="37">
        <v>2022015672006</v>
      </c>
      <c r="B13" s="22" t="str">
        <f>_xlfn.IFNA(IF($A13&lt;&gt;"",VLOOKUP($A13,Protocolos!$A$6:$G$9992,2,FALSE),""),"Não localizado")</f>
        <v>Doação</v>
      </c>
      <c r="C13" s="23">
        <f>_xlfn.IFNA(IF($A13&lt;&gt;"",VLOOKUP($A13,Protocolos!$A$6:$G$9992,7,FALSE),""),"Não localizado")</f>
        <v>44623</v>
      </c>
      <c r="D13" s="23" t="str">
        <f>_xlfn.IFNA(IF($A13&lt;&gt;"",VLOOKUP($A13,Protocolos!$A$6:$G$9992,6,FALSE),""),"Não localizado")</f>
        <v>Em análise</v>
      </c>
      <c r="E13" s="50" t="s">
        <v>44</v>
      </c>
    </row>
    <row r="14" spans="1:5" x14ac:dyDescent="0.25">
      <c r="A14" s="24">
        <v>2022021895071</v>
      </c>
      <c r="B14" s="22" t="str">
        <f>_xlfn.IFNA(IF($A14&lt;&gt;"",VLOOKUP($A14,Protocolos!$A$6:$G$9992,2,FALSE),""),"Não localizado")</f>
        <v>Causa Mortis</v>
      </c>
      <c r="C14" s="23">
        <f>_xlfn.IFNA(IF($A14&lt;&gt;"",VLOOKUP($A14,Protocolos!$A$6:$G$9992,7,FALSE),""),"Não localizado")</f>
        <v>44623</v>
      </c>
      <c r="D14" s="23" t="str">
        <f>_xlfn.IFNA(IF($A14&lt;&gt;"",VLOOKUP($A14,Protocolos!$A$6:$G$9992,6,FALSE),""),"Não localizado")</f>
        <v>Em análise</v>
      </c>
      <c r="E14" s="50" t="s">
        <v>45</v>
      </c>
    </row>
    <row r="15" spans="1:5" x14ac:dyDescent="0.25">
      <c r="A15" s="24">
        <v>2022022954402</v>
      </c>
      <c r="B15" s="22" t="str">
        <f>_xlfn.IFNA(IF($A15&lt;&gt;"",VLOOKUP($A15,Protocolos!$A$6:$G$9992,2,FALSE),""),"Não localizado")</f>
        <v>Causa Mortis</v>
      </c>
      <c r="C15" s="23">
        <f>_xlfn.IFNA(IF($A15&lt;&gt;"",VLOOKUP($A15,Protocolos!$A$6:$G$9992,7,FALSE),""),"Não localizado")</f>
        <v>44624</v>
      </c>
      <c r="D15" s="23" t="str">
        <f>_xlfn.IFNA(IF($A15&lt;&gt;"",VLOOKUP($A15,Protocolos!$A$6:$G$9992,6,FALSE),""),"Não localizado")</f>
        <v>Em análise</v>
      </c>
      <c r="E15" s="50" t="s">
        <v>46</v>
      </c>
    </row>
    <row r="16" spans="1:5" x14ac:dyDescent="0.25">
      <c r="A16" s="24">
        <v>2022011586423</v>
      </c>
      <c r="B16" s="22" t="str">
        <f>_xlfn.IFNA(IF($A16&lt;&gt;"",VLOOKUP($A16,Protocolos!$A$6:$G$9992,2,FALSE),""),"Não localizado")</f>
        <v>Causa Mortis</v>
      </c>
      <c r="C16" s="23">
        <f>_xlfn.IFNA(IF($A16&lt;&gt;"",VLOOKUP($A16,Protocolos!$A$6:$G$9992,7,FALSE),""),"Não localizado")</f>
        <v>44623</v>
      </c>
      <c r="D16" s="23" t="str">
        <f>_xlfn.IFNA(IF($A16&lt;&gt;"",VLOOKUP($A16,Protocolos!$A$6:$G$9992,6,FALSE),""),"Não localizado")</f>
        <v>Em análise</v>
      </c>
      <c r="E16" s="50" t="s">
        <v>47</v>
      </c>
    </row>
    <row r="17" spans="1:5" x14ac:dyDescent="0.25">
      <c r="A17" s="24">
        <v>2022021218052</v>
      </c>
      <c r="B17" s="22" t="str">
        <f>_xlfn.IFNA(IF($A17&lt;&gt;"",VLOOKUP($A17,Protocolos!$A$6:$G$9992,2,FALSE),""),"Não localizado")</f>
        <v>Doação</v>
      </c>
      <c r="C17" s="23">
        <f>_xlfn.IFNA(IF($A17&lt;&gt;"",VLOOKUP($A17,Protocolos!$A$6:$G$9992,7,FALSE),""),"Não localizado")</f>
        <v>44627</v>
      </c>
      <c r="D17" s="23" t="str">
        <f>_xlfn.IFNA(IF($A17&lt;&gt;"",VLOOKUP($A17,Protocolos!$A$6:$G$9992,6,FALSE),""),"Não localizado")</f>
        <v>Em análise</v>
      </c>
      <c r="E17" s="50" t="s">
        <v>48</v>
      </c>
    </row>
    <row r="18" spans="1:5" x14ac:dyDescent="0.25">
      <c r="A18" s="24">
        <v>2021237013997</v>
      </c>
      <c r="B18" s="22" t="str">
        <f>_xlfn.IFNA(IF($A18&lt;&gt;"",VLOOKUP($A18,Protocolos!$A$6:$G$9992,2,FALSE),""),"Não localizado")</f>
        <v>Causa Mortis</v>
      </c>
      <c r="C18" s="23">
        <f>_xlfn.IFNA(IF($A18&lt;&gt;"",VLOOKUP($A18,Protocolos!$A$6:$G$9992,7,FALSE),""),"Não localizado")</f>
        <v>44609</v>
      </c>
      <c r="D18" s="23" t="str">
        <f>_xlfn.IFNA(IF($A18&lt;&gt;"",VLOOKUP($A18,Protocolos!$A$6:$G$9992,6,FALSE),""),"Não localizado")</f>
        <v>Transferido</v>
      </c>
      <c r="E18" s="50" t="s">
        <v>49</v>
      </c>
    </row>
    <row r="19" spans="1:5" x14ac:dyDescent="0.25">
      <c r="A19" s="24">
        <v>2022020905722</v>
      </c>
      <c r="B19" s="22" t="str">
        <f>_xlfn.IFNA(IF($A19&lt;&gt;"",VLOOKUP($A19,Protocolos!$A$6:$G$9992,2,FALSE),""),"Não localizado")</f>
        <v>Causa Mortis</v>
      </c>
      <c r="C19" s="23">
        <f>_xlfn.IFNA(IF($A19&lt;&gt;"",VLOOKUP($A19,Protocolos!$A$6:$G$9992,7,FALSE),""),"Não localizado")</f>
        <v>44627</v>
      </c>
      <c r="D19" s="23" t="str">
        <f>_xlfn.IFNA(IF($A19&lt;&gt;"",VLOOKUP($A19,Protocolos!$A$6:$G$9992,6,FALSE),""),"Não localizado")</f>
        <v>Analisando</v>
      </c>
      <c r="E19" s="50" t="s">
        <v>50</v>
      </c>
    </row>
    <row r="20" spans="1:5" x14ac:dyDescent="0.25">
      <c r="A20" s="24">
        <v>2022013339016</v>
      </c>
      <c r="B20" s="22" t="str">
        <f>_xlfn.IFNA(IF($A20&lt;&gt;"",VLOOKUP($A20,Protocolos!$A$6:$G$9992,2,FALSE),""),"Não localizado")</f>
        <v>Doação</v>
      </c>
      <c r="C20" s="23">
        <f>_xlfn.IFNA(IF($A20&lt;&gt;"",VLOOKUP($A20,Protocolos!$A$6:$G$9992,7,FALSE),""),"Não localizado")</f>
        <v>44611</v>
      </c>
      <c r="D20" s="23" t="str">
        <f>_xlfn.IFNA(IF($A20&lt;&gt;"",VLOOKUP($A20,Protocolos!$A$6:$G$9992,6,FALSE),""),"Não localizado")</f>
        <v>Pendente</v>
      </c>
      <c r="E20" s="50" t="s">
        <v>51</v>
      </c>
    </row>
    <row r="21" spans="1:5" x14ac:dyDescent="0.25">
      <c r="A21" s="24">
        <v>2022013340529</v>
      </c>
      <c r="B21" s="22" t="str">
        <f>_xlfn.IFNA(IF($A21&lt;&gt;"",VLOOKUP($A21,Protocolos!$A$6:$G$9992,2,FALSE),""),"Não localizado")</f>
        <v>Doação</v>
      </c>
      <c r="C21" s="23">
        <f>_xlfn.IFNA(IF($A21&lt;&gt;"",VLOOKUP($A21,Protocolos!$A$6:$G$9992,7,FALSE),""),"Não localizado")</f>
        <v>44611</v>
      </c>
      <c r="D21" s="23" t="str">
        <f>_xlfn.IFNA(IF($A21&lt;&gt;"",VLOOKUP($A21,Protocolos!$A$6:$G$9992,6,FALSE),""),"Não localizado")</f>
        <v>Pendente</v>
      </c>
      <c r="E21" s="50" t="s">
        <v>52</v>
      </c>
    </row>
    <row r="22" spans="1:5" x14ac:dyDescent="0.25">
      <c r="A22" s="24">
        <v>2022013336823</v>
      </c>
      <c r="B22" s="22" t="str">
        <f>_xlfn.IFNA(IF($A22&lt;&gt;"",VLOOKUP($A22,Protocolos!$A$6:$G$9992,2,FALSE),""),"Não localizado")</f>
        <v>Doação</v>
      </c>
      <c r="C22" s="23">
        <f>_xlfn.IFNA(IF($A22&lt;&gt;"",VLOOKUP($A22,Protocolos!$A$6:$G$9992,7,FALSE),""),"Não localizado")</f>
        <v>44611</v>
      </c>
      <c r="D22" s="23" t="str">
        <f>_xlfn.IFNA(IF($A22&lt;&gt;"",VLOOKUP($A22,Protocolos!$A$6:$G$9992,6,FALSE),""),"Não localizado")</f>
        <v>Pendente</v>
      </c>
      <c r="E22" s="50" t="s">
        <v>53</v>
      </c>
    </row>
    <row r="23" spans="1:5" x14ac:dyDescent="0.25">
      <c r="A23" s="24">
        <v>2022024021373</v>
      </c>
      <c r="B23" s="22" t="str">
        <f>_xlfn.IFNA(IF($A23&lt;&gt;"",VLOOKUP($A23,Protocolos!$A$6:$G$9992,2,FALSE),""),"Não localizado")</f>
        <v>Doação</v>
      </c>
      <c r="C23" s="23">
        <f>_xlfn.IFNA(IF($A23&lt;&gt;"",VLOOKUP($A23,Protocolos!$A$6:$G$9992,7,FALSE),""),"Não localizado")</f>
        <v>44627</v>
      </c>
      <c r="D23" s="23" t="str">
        <f>_xlfn.IFNA(IF($A23&lt;&gt;"",VLOOKUP($A23,Protocolos!$A$6:$G$9992,6,FALSE),""),"Não localizado")</f>
        <v>Em análise</v>
      </c>
      <c r="E23" s="50" t="s">
        <v>35</v>
      </c>
    </row>
    <row r="24" spans="1:5" x14ac:dyDescent="0.25">
      <c r="A24" s="24">
        <v>2022024028106</v>
      </c>
      <c r="B24" s="22" t="str">
        <f>_xlfn.IFNA(IF($A24&lt;&gt;"",VLOOKUP($A24,Protocolos!$A$6:$G$9992,2,FALSE),""),"Não localizado")</f>
        <v>Doação</v>
      </c>
      <c r="C24" s="23">
        <f>_xlfn.IFNA(IF($A24&lt;&gt;"",VLOOKUP($A24,Protocolos!$A$6:$G$9992,7,FALSE),""),"Não localizado")</f>
        <v>44627</v>
      </c>
      <c r="D24" s="23" t="str">
        <f>_xlfn.IFNA(IF($A24&lt;&gt;"",VLOOKUP($A24,Protocolos!$A$6:$G$9992,6,FALSE),""),"Não localizado")</f>
        <v>Em análise</v>
      </c>
      <c r="E24" s="50" t="s">
        <v>34</v>
      </c>
    </row>
    <row r="25" spans="1:5" x14ac:dyDescent="0.25">
      <c r="A25" s="34"/>
      <c r="B25" s="22" t="str">
        <f>_xlfn.IFNA(IF($A25&lt;&gt;"",VLOOKUP($A25,Protocolos!$A$6:$G$9992,2,FALSE),""),"Não localizado")</f>
        <v/>
      </c>
      <c r="C25" s="23" t="str">
        <f>_xlfn.IFNA(IF($A25&lt;&gt;"",VLOOKUP($A25,Protocolos!$A$6:$G$9992,7,FALSE),""),"Não localizado")</f>
        <v/>
      </c>
      <c r="D25" s="23" t="str">
        <f>_xlfn.IFNA(IF($A25&lt;&gt;"",VLOOKUP($A25,Protocolos!$A$6:$G$9992,6,FALSE),""),"Não localizado")</f>
        <v/>
      </c>
      <c r="E25" s="50"/>
    </row>
    <row r="26" spans="1:5" x14ac:dyDescent="0.25">
      <c r="A26" s="34"/>
      <c r="B26" s="22" t="str">
        <f>_xlfn.IFNA(IF($A26&lt;&gt;"",VLOOKUP($A26,Protocolos!$A$6:$G$9992,2,FALSE),""),"Não localizado")</f>
        <v/>
      </c>
      <c r="C26" s="23" t="str">
        <f>_xlfn.IFNA(IF($A26&lt;&gt;"",VLOOKUP($A26,Protocolos!$A$6:$G$9992,7,FALSE),""),"Não localizado")</f>
        <v/>
      </c>
      <c r="D26" s="23" t="str">
        <f>_xlfn.IFNA(IF($A26&lt;&gt;"",VLOOKUP($A26,Protocolos!$A$6:$G$9992,6,FALSE),""),"Não localizado")</f>
        <v/>
      </c>
      <c r="E26" s="50"/>
    </row>
    <row r="27" spans="1:5" x14ac:dyDescent="0.25">
      <c r="A27" s="32"/>
      <c r="B27" s="22" t="str">
        <f>_xlfn.IFNA(IF($A27&lt;&gt;"",VLOOKUP($A27,Protocolos!$A$6:$G$9992,2,FALSE),""),"Não localizado")</f>
        <v/>
      </c>
      <c r="C27" s="23" t="str">
        <f>_xlfn.IFNA(IF($A27&lt;&gt;"",VLOOKUP($A27,Protocolos!$A$6:$G$9992,7,FALSE),""),"Não localizado")</f>
        <v/>
      </c>
      <c r="D27" s="23" t="str">
        <f>_xlfn.IFNA(IF($A27&lt;&gt;"",VLOOKUP($A27,Protocolos!$A$6:$G$9992,6,FALSE),""),"Não localizado")</f>
        <v/>
      </c>
      <c r="E27" s="50"/>
    </row>
    <row r="28" spans="1:5" x14ac:dyDescent="0.25">
      <c r="A28" s="34"/>
      <c r="B28" s="22" t="str">
        <f>_xlfn.IFNA(IF($A28&lt;&gt;"",VLOOKUP($A28,Protocolos!$A$6:$G$9992,2,FALSE),""),"Não localizado")</f>
        <v/>
      </c>
      <c r="C28" s="23" t="str">
        <f>_xlfn.IFNA(IF($A28&lt;&gt;"",VLOOKUP($A28,Protocolos!$A$6:$G$9992,7,FALSE),""),"Não localizado")</f>
        <v/>
      </c>
      <c r="D28" s="23" t="str">
        <f>_xlfn.IFNA(IF($A28&lt;&gt;"",VLOOKUP($A28,Protocolos!$A$6:$G$9992,6,FALSE),""),"Não localizado")</f>
        <v/>
      </c>
      <c r="E28" s="50"/>
    </row>
    <row r="29" spans="1:5" x14ac:dyDescent="0.25">
      <c r="A29" s="34"/>
      <c r="B29" s="22" t="str">
        <f>_xlfn.IFNA(IF($A29&lt;&gt;"",VLOOKUP($A29,Protocolos!$A$6:$G$9992,2,FALSE),""),"Não localizado")</f>
        <v/>
      </c>
      <c r="C29" s="23" t="str">
        <f>_xlfn.IFNA(IF($A29&lt;&gt;"",VLOOKUP($A29,Protocolos!$A$6:$G$9992,7,FALSE),""),"Não localizado")</f>
        <v/>
      </c>
      <c r="D29" s="23" t="str">
        <f>_xlfn.IFNA(IF($A29&lt;&gt;"",VLOOKUP($A29,Protocolos!$A$6:$G$9992,6,FALSE),""),"Não localizado")</f>
        <v/>
      </c>
      <c r="E29" s="50"/>
    </row>
    <row r="30" spans="1:5" x14ac:dyDescent="0.25">
      <c r="A30" s="24"/>
      <c r="B30" s="22" t="str">
        <f>_xlfn.IFNA(IF($A30&lt;&gt;"",VLOOKUP($A30,Protocolos!$A$6:$G$9992,2,FALSE),""),"Não localizado")</f>
        <v/>
      </c>
      <c r="C30" s="23" t="str">
        <f>_xlfn.IFNA(IF($A30&lt;&gt;"",VLOOKUP($A30,Protocolos!$A$6:$G$9992,7,FALSE),""),"Não localizado")</f>
        <v/>
      </c>
      <c r="D30" s="23" t="str">
        <f>_xlfn.IFNA(IF($A30&lt;&gt;"",VLOOKUP($A30,Protocolos!$A$6:$G$9992,6,FALSE),""),"Não localizado")</f>
        <v/>
      </c>
      <c r="E30" s="50"/>
    </row>
    <row r="31" spans="1:5" x14ac:dyDescent="0.25">
      <c r="A31" s="24"/>
      <c r="B31" s="22" t="str">
        <f>_xlfn.IFNA(IF($A31&lt;&gt;"",VLOOKUP($A31,Protocolos!$A$6:$G$9992,2,FALSE),""),"Não localizado")</f>
        <v/>
      </c>
      <c r="C31" s="23" t="str">
        <f>_xlfn.IFNA(IF($A31&lt;&gt;"",VLOOKUP($A31,Protocolos!$A$6:$G$9992,7,FALSE),""),"Não localizado")</f>
        <v/>
      </c>
      <c r="D31" s="23" t="str">
        <f>_xlfn.IFNA(IF($A31&lt;&gt;"",VLOOKUP($A31,Protocolos!$A$6:$G$9992,6,FALSE),""),"Não localizado")</f>
        <v/>
      </c>
      <c r="E31" s="50"/>
    </row>
    <row r="32" spans="1:5" x14ac:dyDescent="0.25">
      <c r="A32" s="24"/>
      <c r="B32" s="22" t="str">
        <f>_xlfn.IFNA(IF($A32&lt;&gt;"",VLOOKUP($A32,Protocolos!$A$6:$G$9992,2,FALSE),""),"Não localizado")</f>
        <v/>
      </c>
      <c r="C32" s="23" t="str">
        <f>_xlfn.IFNA(IF($A32&lt;&gt;"",VLOOKUP($A32,Protocolos!$A$6:$G$9992,7,FALSE),""),"Não localizado")</f>
        <v/>
      </c>
      <c r="D32" s="23" t="str">
        <f>_xlfn.IFNA(IF($A32&lt;&gt;"",VLOOKUP($A32,Protocolos!$A$6:$G$9992,6,FALSE),""),"Não localizado")</f>
        <v/>
      </c>
      <c r="E32" s="50"/>
    </row>
    <row r="33" spans="1:5" x14ac:dyDescent="0.25">
      <c r="A33" s="24"/>
      <c r="B33" s="22" t="str">
        <f>_xlfn.IFNA(IF($A33&lt;&gt;"",VLOOKUP($A33,Protocolos!$A$6:$G$9992,2,FALSE),""),"Não localizado")</f>
        <v/>
      </c>
      <c r="C33" s="23" t="str">
        <f>_xlfn.IFNA(IF($A33&lt;&gt;"",VLOOKUP($A33,Protocolos!$A$6:$G$9992,7,FALSE),""),"Não localizado")</f>
        <v/>
      </c>
      <c r="D33" s="23" t="str">
        <f>_xlfn.IFNA(IF($A33&lt;&gt;"",VLOOKUP($A33,Protocolos!$A$6:$G$9992,6,FALSE),""),"Não localizado")</f>
        <v/>
      </c>
      <c r="E33" s="50"/>
    </row>
    <row r="34" spans="1:5" x14ac:dyDescent="0.25">
      <c r="A34" s="24"/>
      <c r="B34" s="22" t="str">
        <f>_xlfn.IFNA(IF($A34&lt;&gt;"",VLOOKUP($A34,Protocolos!$A$6:$G$9992,2,FALSE),""),"Não localizado")</f>
        <v/>
      </c>
      <c r="C34" s="23" t="str">
        <f>_xlfn.IFNA(IF($A34&lt;&gt;"",VLOOKUP($A34,Protocolos!$A$6:$G$9992,7,FALSE),""),"Não localizado")</f>
        <v/>
      </c>
      <c r="D34" s="23" t="str">
        <f>_xlfn.IFNA(IF($A34&lt;&gt;"",VLOOKUP($A34,Protocolos!$A$6:$G$9992,6,FALSE),""),"Não localizado")</f>
        <v/>
      </c>
      <c r="E34" s="50"/>
    </row>
    <row r="35" spans="1:5" x14ac:dyDescent="0.25">
      <c r="A35" s="24"/>
      <c r="B35" s="22" t="str">
        <f>_xlfn.IFNA(IF($A35&lt;&gt;"",VLOOKUP($A35,Protocolos!$A$6:$G$9992,2,FALSE),""),"Não localizado")</f>
        <v/>
      </c>
      <c r="C35" s="23" t="str">
        <f>_xlfn.IFNA(IF($A35&lt;&gt;"",VLOOKUP($A35,Protocolos!$A$6:$G$9992,7,FALSE),""),"Não localizado")</f>
        <v/>
      </c>
      <c r="D35" s="23" t="str">
        <f>_xlfn.IFNA(IF($A35&lt;&gt;"",VLOOKUP($A35,Protocolos!$A$6:$G$9992,6,FALSE),""),"Não localizado")</f>
        <v/>
      </c>
      <c r="E35" s="50"/>
    </row>
    <row r="36" spans="1:5" x14ac:dyDescent="0.25">
      <c r="A36" s="24"/>
      <c r="B36" s="22" t="str">
        <f>_xlfn.IFNA(IF($A36&lt;&gt;"",VLOOKUP($A36,Protocolos!$A$6:$G$9992,2,FALSE),""),"Não localizado")</f>
        <v/>
      </c>
      <c r="C36" s="23" t="str">
        <f>_xlfn.IFNA(IF($A36&lt;&gt;"",VLOOKUP($A36,Protocolos!$A$6:$G$9992,7,FALSE),""),"Não localizado")</f>
        <v/>
      </c>
      <c r="D36" s="23" t="str">
        <f>_xlfn.IFNA(IF($A36&lt;&gt;"",VLOOKUP($A36,Protocolos!$A$6:$G$9992,6,FALSE),""),"Não localizado")</f>
        <v/>
      </c>
      <c r="E36" s="50"/>
    </row>
    <row r="37" spans="1:5" x14ac:dyDescent="0.25">
      <c r="A37" s="24"/>
      <c r="B37" s="22" t="str">
        <f>_xlfn.IFNA(IF($A37&lt;&gt;"",VLOOKUP($A37,Protocolos!$A$6:$G$9992,2,FALSE),""),"Não localizado")</f>
        <v/>
      </c>
      <c r="C37" s="23" t="str">
        <f>_xlfn.IFNA(IF($A37&lt;&gt;"",VLOOKUP($A37,Protocolos!$A$6:$G$9992,7,FALSE),""),"Não localizado")</f>
        <v/>
      </c>
      <c r="D37" s="23" t="str">
        <f>_xlfn.IFNA(IF($A37&lt;&gt;"",VLOOKUP($A37,Protocolos!$A$6:$G$9992,6,FALSE),""),"Não localizado")</f>
        <v/>
      </c>
      <c r="E37" s="50"/>
    </row>
    <row r="38" spans="1:5" x14ac:dyDescent="0.25">
      <c r="A38" s="24"/>
      <c r="B38" s="22" t="str">
        <f>_xlfn.IFNA(IF($A38&lt;&gt;"",VLOOKUP($A38,Protocolos!$A$6:$G$9992,2,FALSE),""),"Não localizado")</f>
        <v/>
      </c>
      <c r="C38" s="23" t="str">
        <f>_xlfn.IFNA(IF($A38&lt;&gt;"",VLOOKUP($A38,Protocolos!$A$6:$G$9992,7,FALSE),""),"Não localizado")</f>
        <v/>
      </c>
      <c r="D38" s="23" t="str">
        <f>_xlfn.IFNA(IF($A38&lt;&gt;"",VLOOKUP($A38,Protocolos!$A$6:$G$9992,6,FALSE),""),"Não localizado")</f>
        <v/>
      </c>
      <c r="E38" s="50"/>
    </row>
    <row r="39" spans="1:5" x14ac:dyDescent="0.25">
      <c r="A39" s="24"/>
      <c r="B39" s="22" t="str">
        <f>_xlfn.IFNA(IF($A39&lt;&gt;"",VLOOKUP($A39,Protocolos!$A$6:$G$9992,2,FALSE),""),"Não localizado")</f>
        <v/>
      </c>
      <c r="C39" s="23" t="str">
        <f>_xlfn.IFNA(IF($A39&lt;&gt;"",VLOOKUP($A39,Protocolos!$A$6:$G$9992,7,FALSE),""),"Não localizado")</f>
        <v/>
      </c>
      <c r="D39" s="23" t="str">
        <f>_xlfn.IFNA(IF($A39&lt;&gt;"",VLOOKUP($A39,Protocolos!$A$6:$G$9992,6,FALSE),""),"Não localizado")</f>
        <v/>
      </c>
      <c r="E39" s="50"/>
    </row>
    <row r="40" spans="1:5" ht="15" customHeight="1" x14ac:dyDescent="0.25">
      <c r="A40" s="24"/>
      <c r="B40" s="22" t="str">
        <f>_xlfn.IFNA(IF($A40&lt;&gt;"",VLOOKUP($A40,Protocolos!$A$6:$G$9992,2,FALSE),""),"Não localizado")</f>
        <v/>
      </c>
      <c r="C40" s="23" t="str">
        <f>_xlfn.IFNA(IF($A40&lt;&gt;"",VLOOKUP($A40,Protocolos!$A$6:$G$9992,7,FALSE),""),"Não localizado")</f>
        <v/>
      </c>
      <c r="D40" s="23" t="str">
        <f>_xlfn.IFNA(IF($A40&lt;&gt;"",VLOOKUP($A40,Protocolos!$A$6:$G$9992,6,FALSE),""),"Não localizado")</f>
        <v/>
      </c>
      <c r="E40" s="50"/>
    </row>
    <row r="41" spans="1:5" x14ac:dyDescent="0.25">
      <c r="A41" s="24"/>
      <c r="B41" s="22" t="str">
        <f>_xlfn.IFNA(IF($A41&lt;&gt;"",VLOOKUP($A41,Protocolos!$A$6:$G$9992,2,FALSE),""),"Não localizado")</f>
        <v/>
      </c>
      <c r="C41" s="23" t="str">
        <f>_xlfn.IFNA(IF($A41&lt;&gt;"",VLOOKUP($A41,Protocolos!$A$6:$G$9992,7,FALSE),""),"Não localizado")</f>
        <v/>
      </c>
      <c r="D41" s="23" t="str">
        <f>_xlfn.IFNA(IF($A41&lt;&gt;"",VLOOKUP($A41,Protocolos!$A$6:$G$9992,6,FALSE),""),"Não localizado")</f>
        <v/>
      </c>
      <c r="E41" s="50"/>
    </row>
    <row r="42" spans="1:5" x14ac:dyDescent="0.25">
      <c r="A42" s="24"/>
      <c r="B42" s="22" t="str">
        <f>_xlfn.IFNA(IF($A42&lt;&gt;"",VLOOKUP($A42,Protocolos!$A$6:$G$9992,2,FALSE),""),"Não localizado")</f>
        <v/>
      </c>
      <c r="C42" s="23" t="str">
        <f>_xlfn.IFNA(IF($A42&lt;&gt;"",VLOOKUP($A42,Protocolos!$A$6:$G$9992,7,FALSE),""),"Não localizado")</f>
        <v/>
      </c>
      <c r="D42" s="23" t="str">
        <f>_xlfn.IFNA(IF($A42&lt;&gt;"",VLOOKUP($A42,Protocolos!$A$6:$G$9992,6,FALSE),""),"Não localizado")</f>
        <v/>
      </c>
      <c r="E42" s="50"/>
    </row>
    <row r="43" spans="1:5" x14ac:dyDescent="0.25">
      <c r="A43" s="24"/>
      <c r="B43" s="22" t="str">
        <f>_xlfn.IFNA(IF($A43&lt;&gt;"",VLOOKUP($A43,Protocolos!$A$6:$G$9992,2,FALSE),""),"Não localizado")</f>
        <v/>
      </c>
      <c r="C43" s="23" t="str">
        <f>_xlfn.IFNA(IF($A43&lt;&gt;"",VLOOKUP($A43,Protocolos!$A$6:$G$9992,7,FALSE),""),"Não localizado")</f>
        <v/>
      </c>
      <c r="D43" s="23" t="str">
        <f>_xlfn.IFNA(IF($A43&lt;&gt;"",VLOOKUP($A43,Protocolos!$A$6:$G$9992,6,FALSE),""),"Não localizado")</f>
        <v/>
      </c>
      <c r="E43" s="50"/>
    </row>
    <row r="44" spans="1:5" x14ac:dyDescent="0.25">
      <c r="A44" s="24"/>
      <c r="B44" s="22" t="str">
        <f>_xlfn.IFNA(IF($A44&lt;&gt;"",VLOOKUP($A44,Protocolos!$A$6:$G$9992,2,FALSE),""),"Não localizado")</f>
        <v/>
      </c>
      <c r="C44" s="23" t="str">
        <f>_xlfn.IFNA(IF($A44&lt;&gt;"",VLOOKUP($A44,Protocolos!$A$6:$G$9992,7,FALSE),""),"Não localizado")</f>
        <v/>
      </c>
      <c r="D44" s="23" t="str">
        <f>_xlfn.IFNA(IF($A44&lt;&gt;"",VLOOKUP($A44,Protocolos!$A$6:$G$9992,6,FALSE),""),"Não localizado")</f>
        <v/>
      </c>
      <c r="E44" s="50"/>
    </row>
    <row r="45" spans="1:5" x14ac:dyDescent="0.25">
      <c r="A45" s="24"/>
      <c r="B45" s="22" t="str">
        <f>_xlfn.IFNA(IF($A45&lt;&gt;"",VLOOKUP($A45,Protocolos!$A$6:$G$9992,2,FALSE),""),"Não localizado")</f>
        <v/>
      </c>
      <c r="C45" s="23" t="str">
        <f>_xlfn.IFNA(IF($A45&lt;&gt;"",VLOOKUP($A45,Protocolos!$A$6:$G$9992,7,FALSE),""),"Não localizado")</f>
        <v/>
      </c>
      <c r="D45" s="23" t="str">
        <f>_xlfn.IFNA(IF($A45&lt;&gt;"",VLOOKUP($A45,Protocolos!$A$6:$G$9992,6,FALSE),""),"Não localizado")</f>
        <v/>
      </c>
      <c r="E45" s="50"/>
    </row>
    <row r="46" spans="1:5" x14ac:dyDescent="0.25">
      <c r="A46" s="24"/>
      <c r="B46" s="22" t="str">
        <f>_xlfn.IFNA(IF($A46&lt;&gt;"",VLOOKUP($A46,Protocolos!$A$6:$G$9992,2,FALSE),""),"Não localizado")</f>
        <v/>
      </c>
      <c r="C46" s="23" t="str">
        <f>_xlfn.IFNA(IF($A46&lt;&gt;"",VLOOKUP($A46,Protocolos!$A$6:$G$9992,7,FALSE),""),"Não localizado")</f>
        <v/>
      </c>
      <c r="D46" s="23" t="str">
        <f>_xlfn.IFNA(IF($A46&lt;&gt;"",VLOOKUP($A46,Protocolos!$A$6:$G$9992,6,FALSE),""),"Não localizado")</f>
        <v/>
      </c>
      <c r="E46" s="50"/>
    </row>
    <row r="47" spans="1:5" x14ac:dyDescent="0.25">
      <c r="A47" s="24"/>
      <c r="B47" s="22" t="str">
        <f>_xlfn.IFNA(IF($A47&lt;&gt;"",VLOOKUP($A47,Protocolos!$A$6:$G$9992,2,FALSE),""),"Não localizado")</f>
        <v/>
      </c>
      <c r="C47" s="23" t="str">
        <f>_xlfn.IFNA(IF($A47&lt;&gt;"",VLOOKUP($A47,Protocolos!$A$6:$G$9992,7,FALSE),""),"Não localizado")</f>
        <v/>
      </c>
      <c r="D47" s="23" t="str">
        <f>_xlfn.IFNA(IF($A47&lt;&gt;"",VLOOKUP($A47,Protocolos!$A$6:$G$9992,6,FALSE),""),"Não localizado")</f>
        <v/>
      </c>
      <c r="E47" s="50"/>
    </row>
    <row r="48" spans="1:5" x14ac:dyDescent="0.25">
      <c r="A48" s="24"/>
      <c r="B48" s="22" t="str">
        <f>_xlfn.IFNA(IF($A48&lt;&gt;"",VLOOKUP($A48,Protocolos!$A$6:$G$9992,2,FALSE),""),"Não localizado")</f>
        <v/>
      </c>
      <c r="C48" s="23" t="str">
        <f>_xlfn.IFNA(IF($A48&lt;&gt;"",VLOOKUP($A48,Protocolos!$A$6:$G$9992,7,FALSE),""),"Não localizado")</f>
        <v/>
      </c>
      <c r="D48" s="23" t="str">
        <f>_xlfn.IFNA(IF($A48&lt;&gt;"",VLOOKUP($A48,Protocolos!$A$6:$G$9992,6,FALSE),""),"Não localizado")</f>
        <v/>
      </c>
      <c r="E48" s="50"/>
    </row>
    <row r="49" spans="1:5" x14ac:dyDescent="0.25">
      <c r="A49" s="24"/>
      <c r="B49" s="22" t="str">
        <f>_xlfn.IFNA(IF($A49&lt;&gt;"",VLOOKUP($A49,Protocolos!$A$6:$G$9992,2,FALSE),""),"Não localizado")</f>
        <v/>
      </c>
      <c r="C49" s="23" t="str">
        <f>_xlfn.IFNA(IF($A49&lt;&gt;"",VLOOKUP($A49,Protocolos!$A$6:$G$9992,7,FALSE),""),"Não localizado")</f>
        <v/>
      </c>
      <c r="D49" s="23" t="str">
        <f>_xlfn.IFNA(IF($A49&lt;&gt;"",VLOOKUP($A49,Protocolos!$A$6:$G$9992,6,FALSE),""),"Não localizado")</f>
        <v/>
      </c>
      <c r="E49" s="50"/>
    </row>
    <row r="50" spans="1:5" x14ac:dyDescent="0.25">
      <c r="A50" s="24"/>
      <c r="B50" s="22" t="str">
        <f>_xlfn.IFNA(IF($A50&lt;&gt;"",VLOOKUP($A50,Protocolos!$A$6:$G$9992,2,FALSE),""),"Não localizado")</f>
        <v/>
      </c>
      <c r="C50" s="23" t="str">
        <f>_xlfn.IFNA(IF($A50&lt;&gt;"",VLOOKUP($A50,Protocolos!$A$6:$G$9992,7,FALSE),""),"Não localizado")</f>
        <v/>
      </c>
      <c r="D50" s="23" t="str">
        <f>_xlfn.IFNA(IF($A50&lt;&gt;"",VLOOKUP($A50,Protocolos!$A$6:$G$9992,6,FALSE),""),"Não localizado")</f>
        <v/>
      </c>
      <c r="E50" s="50"/>
    </row>
    <row r="51" spans="1:5" x14ac:dyDescent="0.25">
      <c r="A51" s="24"/>
      <c r="B51" s="22" t="str">
        <f>_xlfn.IFNA(IF($A51&lt;&gt;"",VLOOKUP($A51,Protocolos!$A$6:$G$9992,2,FALSE),""),"Não localizado")</f>
        <v/>
      </c>
      <c r="C51" s="23" t="str">
        <f>_xlfn.IFNA(IF($A51&lt;&gt;"",VLOOKUP($A51,Protocolos!$A$6:$G$9992,7,FALSE),""),"Não localizado")</f>
        <v/>
      </c>
      <c r="D51" s="23" t="str">
        <f>_xlfn.IFNA(IF($A51&lt;&gt;"",VLOOKUP($A51,Protocolos!$A$6:$G$9992,6,FALSE),""),"Não localizado")</f>
        <v/>
      </c>
      <c r="E51" s="50"/>
    </row>
    <row r="52" spans="1:5" x14ac:dyDescent="0.25">
      <c r="A52" s="24"/>
      <c r="B52" s="22" t="str">
        <f>_xlfn.IFNA(IF($A52&lt;&gt;"",VLOOKUP($A52,Protocolos!$A$6:$G$9992,2,FALSE),""),"Não localizado")</f>
        <v/>
      </c>
      <c r="C52" s="23" t="str">
        <f>_xlfn.IFNA(IF($A52&lt;&gt;"",VLOOKUP($A52,Protocolos!$A$6:$G$9992,7,FALSE),""),"Não localizado")</f>
        <v/>
      </c>
      <c r="D52" s="23" t="str">
        <f>_xlfn.IFNA(IF($A52&lt;&gt;"",VLOOKUP($A52,Protocolos!$A$6:$G$9992,6,FALSE),""),"Não localizado")</f>
        <v/>
      </c>
      <c r="E52" s="50"/>
    </row>
    <row r="53" spans="1:5" x14ac:dyDescent="0.25">
      <c r="A53" s="24"/>
      <c r="B53" s="22" t="str">
        <f>_xlfn.IFNA(IF($A53&lt;&gt;"",VLOOKUP($A53,Protocolos!$A$6:$G$9992,2,FALSE),""),"Não localizado")</f>
        <v/>
      </c>
      <c r="C53" s="23" t="str">
        <f>_xlfn.IFNA(IF($A53&lt;&gt;"",VLOOKUP($A53,Protocolos!$A$6:$G$9992,7,FALSE),""),"Não localizado")</f>
        <v/>
      </c>
      <c r="D53" s="23" t="str">
        <f>_xlfn.IFNA(IF($A53&lt;&gt;"",VLOOKUP($A53,Protocolos!$A$6:$G$9992,6,FALSE),""),"Não localizado")</f>
        <v/>
      </c>
      <c r="E53" s="50"/>
    </row>
    <row r="54" spans="1:5" x14ac:dyDescent="0.25">
      <c r="A54" s="24"/>
      <c r="B54" s="22" t="str">
        <f>_xlfn.IFNA(IF($A54&lt;&gt;"",VLOOKUP($A54,Protocolos!$A$6:$G$9992,2,FALSE),""),"Não localizado")</f>
        <v/>
      </c>
      <c r="C54" s="23" t="str">
        <f>_xlfn.IFNA(IF($A54&lt;&gt;"",VLOOKUP($A54,Protocolos!$A$6:$G$9992,7,FALSE),""),"Não localizado")</f>
        <v/>
      </c>
      <c r="D54" s="23" t="str">
        <f>_xlfn.IFNA(IF($A54&lt;&gt;"",VLOOKUP($A54,Protocolos!$A$6:$G$9992,6,FALSE),""),"Não localizado")</f>
        <v/>
      </c>
      <c r="E54" s="50"/>
    </row>
    <row r="55" spans="1:5" x14ac:dyDescent="0.25">
      <c r="A55" s="24"/>
      <c r="B55" s="22" t="str">
        <f>_xlfn.IFNA(IF($A55&lt;&gt;"",VLOOKUP($A55,Protocolos!$A$6:$G$9992,2,FALSE),""),"Não localizado")</f>
        <v/>
      </c>
      <c r="C55" s="23" t="str">
        <f>_xlfn.IFNA(IF($A55&lt;&gt;"",VLOOKUP($A55,Protocolos!$A$6:$G$9992,7,FALSE),""),"Não localizado")</f>
        <v/>
      </c>
      <c r="D55" s="23" t="str">
        <f>_xlfn.IFNA(IF($A55&lt;&gt;"",VLOOKUP($A55,Protocolos!$A$6:$G$9992,6,FALSE),""),"Não localizado")</f>
        <v/>
      </c>
      <c r="E55" s="50"/>
    </row>
    <row r="56" spans="1:5" x14ac:dyDescent="0.25">
      <c r="A56" s="24"/>
      <c r="B56" s="22" t="str">
        <f>_xlfn.IFNA(IF($A56&lt;&gt;"",VLOOKUP($A56,Protocolos!$A$6:$G$9992,2,FALSE),""),"Não localizado")</f>
        <v/>
      </c>
      <c r="C56" s="23" t="str">
        <f>_xlfn.IFNA(IF($A56&lt;&gt;"",VLOOKUP($A56,Protocolos!$A$6:$G$9992,7,FALSE),""),"Não localizado")</f>
        <v/>
      </c>
      <c r="D56" s="23" t="str">
        <f>_xlfn.IFNA(IF($A56&lt;&gt;"",VLOOKUP($A56,Protocolos!$A$6:$G$9992,6,FALSE),""),"Não localizado")</f>
        <v/>
      </c>
      <c r="E56" s="50"/>
    </row>
    <row r="57" spans="1:5" x14ac:dyDescent="0.25">
      <c r="A57" s="24"/>
      <c r="B57" s="22" t="str">
        <f>_xlfn.IFNA(IF($A57&lt;&gt;"",VLOOKUP($A57,Protocolos!$A$6:$G$9992,2,FALSE),""),"Não localizado")</f>
        <v/>
      </c>
      <c r="C57" s="23" t="str">
        <f>_xlfn.IFNA(IF($A57&lt;&gt;"",VLOOKUP($A57,Protocolos!$A$6:$G$9992,7,FALSE),""),"Não localizado")</f>
        <v/>
      </c>
      <c r="D57" s="23" t="str">
        <f>_xlfn.IFNA(IF($A57&lt;&gt;"",VLOOKUP($A57,Protocolos!$A$6:$G$9992,6,FALSE),""),"Não localizado")</f>
        <v/>
      </c>
      <c r="E57" s="50"/>
    </row>
    <row r="58" spans="1:5" x14ac:dyDescent="0.25">
      <c r="A58" s="24"/>
      <c r="B58" s="22" t="str">
        <f>_xlfn.IFNA(IF($A58&lt;&gt;"",VLOOKUP($A58,Protocolos!$A$6:$G$9992,2,FALSE),""),"Não localizado")</f>
        <v/>
      </c>
      <c r="C58" s="23" t="str">
        <f>_xlfn.IFNA(IF($A58&lt;&gt;"",VLOOKUP($A58,Protocolos!$A$6:$G$9992,7,FALSE),""),"Não localizado")</f>
        <v/>
      </c>
      <c r="D58" s="23" t="str">
        <f>_xlfn.IFNA(IF($A58&lt;&gt;"",VLOOKUP($A58,Protocolos!$A$6:$G$9992,6,FALSE),""),"Não localizado")</f>
        <v/>
      </c>
      <c r="E58" s="50"/>
    </row>
    <row r="59" spans="1:5" x14ac:dyDescent="0.25">
      <c r="A59" s="24"/>
      <c r="B59" s="22" t="str">
        <f>_xlfn.IFNA(IF($A59&lt;&gt;"",VLOOKUP($A59,Protocolos!$A$6:$G$9992,2,FALSE),""),"Não localizado")</f>
        <v/>
      </c>
      <c r="C59" s="23" t="str">
        <f>_xlfn.IFNA(IF($A59&lt;&gt;"",VLOOKUP($A59,Protocolos!$A$6:$G$9992,7,FALSE),""),"Não localizado")</f>
        <v/>
      </c>
      <c r="D59" s="23" t="str">
        <f>_xlfn.IFNA(IF($A59&lt;&gt;"",VLOOKUP($A59,Protocolos!$A$6:$G$9992,6,FALSE),""),"Não localizado")</f>
        <v/>
      </c>
      <c r="E59" s="50"/>
    </row>
    <row r="60" spans="1:5" x14ac:dyDescent="0.25">
      <c r="A60" s="24"/>
      <c r="B60" s="22" t="str">
        <f>_xlfn.IFNA(IF($A60&lt;&gt;"",VLOOKUP($A60,Protocolos!$A$6:$G$9992,2,FALSE),""),"Não localizado")</f>
        <v/>
      </c>
      <c r="C60" s="23" t="str">
        <f>_xlfn.IFNA(IF($A60&lt;&gt;"",VLOOKUP($A60,Protocolos!$A$6:$G$9992,7,FALSE),""),"Não localizado")</f>
        <v/>
      </c>
      <c r="D60" s="23" t="str">
        <f>_xlfn.IFNA(IF($A60&lt;&gt;"",VLOOKUP($A60,Protocolos!$A$6:$G$9992,6,FALSE),""),"Não localizado")</f>
        <v/>
      </c>
      <c r="E60" s="50"/>
    </row>
    <row r="61" spans="1:5" x14ac:dyDescent="0.25">
      <c r="A61" s="24"/>
      <c r="B61" s="22" t="str">
        <f>_xlfn.IFNA(IF($A61&lt;&gt;"",VLOOKUP($A61,Protocolos!$A$6:$G$9992,2,FALSE),""),"Não localizado")</f>
        <v/>
      </c>
      <c r="C61" s="23" t="str">
        <f>_xlfn.IFNA(IF($A61&lt;&gt;"",VLOOKUP($A61,Protocolos!$A$6:$G$9992,7,FALSE),""),"Não localizado")</f>
        <v/>
      </c>
      <c r="D61" s="23" t="str">
        <f>_xlfn.IFNA(IF($A61&lt;&gt;"",VLOOKUP($A61,Protocolos!$A$6:$G$9992,6,FALSE),""),"Não localizado")</f>
        <v/>
      </c>
      <c r="E61" s="50"/>
    </row>
    <row r="62" spans="1:5" x14ac:dyDescent="0.25">
      <c r="A62" s="24"/>
      <c r="B62" s="22" t="str">
        <f>_xlfn.IFNA(IF($A62&lt;&gt;"",VLOOKUP($A62,Protocolos!$A$6:$G$9992,2,FALSE),""),"Não localizado")</f>
        <v/>
      </c>
      <c r="C62" s="23" t="str">
        <f>_xlfn.IFNA(IF($A62&lt;&gt;"",VLOOKUP($A62,Protocolos!$A$6:$G$9992,7,FALSE),""),"Não localizado")</f>
        <v/>
      </c>
      <c r="D62" s="23" t="str">
        <f>_xlfn.IFNA(IF($A62&lt;&gt;"",VLOOKUP($A62,Protocolos!$A$6:$G$9992,6,FALSE),""),"Não localizado")</f>
        <v/>
      </c>
      <c r="E62" s="50"/>
    </row>
    <row r="63" spans="1:5" x14ac:dyDescent="0.25">
      <c r="A63" s="24"/>
      <c r="B63" s="22" t="str">
        <f>_xlfn.IFNA(IF($A63&lt;&gt;"",VLOOKUP($A63,Protocolos!$A$6:$G$9992,2,FALSE),""),"Não localizado")</f>
        <v/>
      </c>
      <c r="C63" s="23" t="str">
        <f>_xlfn.IFNA(IF($A63&lt;&gt;"",VLOOKUP($A63,Protocolos!$A$6:$G$9992,7,FALSE),""),"Não localizado")</f>
        <v/>
      </c>
      <c r="D63" s="23" t="str">
        <f>_xlfn.IFNA(IF($A63&lt;&gt;"",VLOOKUP($A63,Protocolos!$A$6:$G$9992,6,FALSE),""),"Não localizado")</f>
        <v/>
      </c>
      <c r="E63" s="50"/>
    </row>
    <row r="64" spans="1:5" x14ac:dyDescent="0.25">
      <c r="A64" s="24"/>
      <c r="B64" s="22" t="str">
        <f>_xlfn.IFNA(IF($A64&lt;&gt;"",VLOOKUP($A64,Protocolos!$A$6:$G$9992,2,FALSE),""),"Não localizado")</f>
        <v/>
      </c>
      <c r="C64" s="23" t="str">
        <f>_xlfn.IFNA(IF($A64&lt;&gt;"",VLOOKUP($A64,Protocolos!$A$6:$G$9992,7,FALSE),""),"Não localizado")</f>
        <v/>
      </c>
      <c r="D64" s="23" t="str">
        <f>_xlfn.IFNA(IF($A64&lt;&gt;"",VLOOKUP($A64,Protocolos!$A$6:$G$9992,6,FALSE),""),"Não localizado")</f>
        <v/>
      </c>
      <c r="E64" s="50"/>
    </row>
    <row r="65" spans="1:5" x14ac:dyDescent="0.25">
      <c r="A65" s="24"/>
      <c r="B65" s="22" t="str">
        <f>_xlfn.IFNA(IF($A65&lt;&gt;"",VLOOKUP($A65,Protocolos!$A$6:$G$9992,2,FALSE),""),"Não localizado")</f>
        <v/>
      </c>
      <c r="C65" s="23" t="str">
        <f>_xlfn.IFNA(IF($A65&lt;&gt;"",VLOOKUP($A65,Protocolos!$A$6:$G$9992,7,FALSE),""),"Não localizado")</f>
        <v/>
      </c>
      <c r="D65" s="23" t="str">
        <f>_xlfn.IFNA(IF($A65&lt;&gt;"",VLOOKUP($A65,Protocolos!$A$6:$G$9992,6,FALSE),""),"Não localizado")</f>
        <v/>
      </c>
      <c r="E65" s="50"/>
    </row>
    <row r="66" spans="1:5" x14ac:dyDescent="0.25">
      <c r="A66" s="24"/>
      <c r="B66" s="22" t="str">
        <f>_xlfn.IFNA(IF($A66&lt;&gt;"",VLOOKUP($A66,Protocolos!$A$6:$G$9992,2,FALSE),""),"Não localizado")</f>
        <v/>
      </c>
      <c r="C66" s="23" t="str">
        <f>_xlfn.IFNA(IF($A66&lt;&gt;"",VLOOKUP($A66,Protocolos!$A$6:$G$9992,7,FALSE),""),"Não localizado")</f>
        <v/>
      </c>
      <c r="D66" s="23" t="str">
        <f>_xlfn.IFNA(IF($A66&lt;&gt;"",VLOOKUP($A66,Protocolos!$A$6:$G$9992,6,FALSE),""),"Não localizado")</f>
        <v/>
      </c>
      <c r="E66" s="50"/>
    </row>
    <row r="67" spans="1:5" x14ac:dyDescent="0.25">
      <c r="A67" s="24"/>
      <c r="B67" s="22" t="str">
        <f>_xlfn.IFNA(IF($A67&lt;&gt;"",VLOOKUP($A67,Protocolos!$A$6:$G$9992,2,FALSE),""),"Não localizado")</f>
        <v/>
      </c>
      <c r="C67" s="23" t="str">
        <f>_xlfn.IFNA(IF($A67&lt;&gt;"",VLOOKUP($A67,Protocolos!$A$6:$G$9992,7,FALSE),""),"Não localizado")</f>
        <v/>
      </c>
      <c r="D67" s="23" t="str">
        <f>_xlfn.IFNA(IF($A67&lt;&gt;"",VLOOKUP($A67,Protocolos!$A$6:$G$9992,6,FALSE),""),"Não localizado")</f>
        <v/>
      </c>
      <c r="E67" s="50"/>
    </row>
    <row r="68" spans="1:5" x14ac:dyDescent="0.25">
      <c r="A68" s="24"/>
      <c r="B68" s="22" t="str">
        <f>_xlfn.IFNA(IF($A68&lt;&gt;"",VLOOKUP($A68,Protocolos!$A$6:$G$9992,2,FALSE),""),"Não localizado")</f>
        <v/>
      </c>
      <c r="C68" s="23" t="str">
        <f>_xlfn.IFNA(IF($A68&lt;&gt;"",VLOOKUP($A68,Protocolos!$A$6:$G$9992,7,FALSE),""),"Não localizado")</f>
        <v/>
      </c>
      <c r="D68" s="23" t="str">
        <f>_xlfn.IFNA(IF($A68&lt;&gt;"",VLOOKUP($A68,Protocolos!$A$6:$G$9992,6,FALSE),""),"Não localizado")</f>
        <v/>
      </c>
      <c r="E68" s="50"/>
    </row>
    <row r="69" spans="1:5" x14ac:dyDescent="0.25">
      <c r="A69" s="24"/>
      <c r="B69" s="22" t="str">
        <f>_xlfn.IFNA(IF($A69&lt;&gt;"",VLOOKUP($A69,Protocolos!$A$6:$G$9992,2,FALSE),""),"Não localizado")</f>
        <v/>
      </c>
      <c r="C69" s="23" t="str">
        <f>_xlfn.IFNA(IF($A69&lt;&gt;"",VLOOKUP($A69,Protocolos!$A$6:$G$9992,7,FALSE),""),"Não localizado")</f>
        <v/>
      </c>
      <c r="D69" s="23" t="str">
        <f>_xlfn.IFNA(IF($A69&lt;&gt;"",VLOOKUP($A69,Protocolos!$A$6:$G$9992,6,FALSE),""),"Não localizado")</f>
        <v/>
      </c>
      <c r="E69" s="50"/>
    </row>
    <row r="70" spans="1:5" x14ac:dyDescent="0.25">
      <c r="A70" s="24"/>
      <c r="B70" s="22" t="str">
        <f>_xlfn.IFNA(IF($A70&lt;&gt;"",VLOOKUP($A70,Protocolos!$A$6:$G$9992,2,FALSE),""),"Não localizado")</f>
        <v/>
      </c>
      <c r="C70" s="23" t="str">
        <f>_xlfn.IFNA(IF($A70&lt;&gt;"",VLOOKUP($A70,Protocolos!$A$6:$G$9992,7,FALSE),""),"Não localizado")</f>
        <v/>
      </c>
      <c r="D70" s="23" t="str">
        <f>_xlfn.IFNA(IF($A70&lt;&gt;"",VLOOKUP($A70,Protocolos!$A$6:$G$9992,6,FALSE),""),"Não localizado")</f>
        <v/>
      </c>
      <c r="E70" s="50"/>
    </row>
    <row r="71" spans="1:5" x14ac:dyDescent="0.25">
      <c r="A71" s="24"/>
      <c r="B71" s="22" t="str">
        <f>_xlfn.IFNA(IF($A71&lt;&gt;"",VLOOKUP($A71,Protocolos!$A$6:$G$9992,2,FALSE),""),"Não localizado")</f>
        <v/>
      </c>
      <c r="C71" s="23" t="str">
        <f>_xlfn.IFNA(IF($A71&lt;&gt;"",VLOOKUP($A71,Protocolos!$A$6:$G$9992,7,FALSE),""),"Não localizado")</f>
        <v/>
      </c>
      <c r="D71" s="23" t="str">
        <f>_xlfn.IFNA(IF($A71&lt;&gt;"",VLOOKUP($A71,Protocolos!$A$6:$G$9992,6,FALSE),""),"Não localizado")</f>
        <v/>
      </c>
      <c r="E71" s="50"/>
    </row>
    <row r="72" spans="1:5" x14ac:dyDescent="0.25">
      <c r="A72" s="24"/>
      <c r="B72" s="22" t="str">
        <f>_xlfn.IFNA(IF($A72&lt;&gt;"",VLOOKUP($A72,Protocolos!$A$6:$G$9992,2,FALSE),""),"Não localizado")</f>
        <v/>
      </c>
      <c r="C72" s="23" t="str">
        <f>_xlfn.IFNA(IF($A72&lt;&gt;"",VLOOKUP($A72,Protocolos!$A$6:$G$9992,7,FALSE),""),"Não localizado")</f>
        <v/>
      </c>
      <c r="D72" s="23" t="str">
        <f>_xlfn.IFNA(IF($A72&lt;&gt;"",VLOOKUP($A72,Protocolos!$A$6:$G$9992,6,FALSE),""),"Não localizado")</f>
        <v/>
      </c>
      <c r="E72" s="50"/>
    </row>
    <row r="73" spans="1:5" x14ac:dyDescent="0.25">
      <c r="A73" s="24"/>
      <c r="B73" s="22" t="str">
        <f>_xlfn.IFNA(IF($A73&lt;&gt;"",VLOOKUP($A73,Protocolos!$A$6:$G$9992,2,FALSE),""),"Não localizado")</f>
        <v/>
      </c>
      <c r="C73" s="23" t="str">
        <f>_xlfn.IFNA(IF($A73&lt;&gt;"",VLOOKUP($A73,Protocolos!$A$6:$G$9992,7,FALSE),""),"Não localizado")</f>
        <v/>
      </c>
      <c r="D73" s="23" t="str">
        <f>_xlfn.IFNA(IF($A73&lt;&gt;"",VLOOKUP($A73,Protocolos!$A$6:$G$9992,6,FALSE),""),"Não localizado")</f>
        <v/>
      </c>
      <c r="E73" s="50"/>
    </row>
    <row r="74" spans="1:5" x14ac:dyDescent="0.25">
      <c r="A74" s="24"/>
      <c r="B74" s="22" t="str">
        <f>_xlfn.IFNA(IF($A74&lt;&gt;"",VLOOKUP($A74,Protocolos!$A$6:$G$9992,2,FALSE),""),"Não localizado")</f>
        <v/>
      </c>
      <c r="C74" s="23" t="str">
        <f>_xlfn.IFNA(IF($A74&lt;&gt;"",VLOOKUP($A74,Protocolos!$A$6:$G$9992,7,FALSE),""),"Não localizado")</f>
        <v/>
      </c>
      <c r="D74" s="23" t="str">
        <f>_xlfn.IFNA(IF($A74&lt;&gt;"",VLOOKUP($A74,Protocolos!$A$6:$G$9992,6,FALSE),""),"Não localizado")</f>
        <v/>
      </c>
      <c r="E74" s="50"/>
    </row>
    <row r="75" spans="1:5" x14ac:dyDescent="0.25">
      <c r="A75" s="24"/>
      <c r="B75" s="22" t="str">
        <f>_xlfn.IFNA(IF($A75&lt;&gt;"",VLOOKUP($A75,Protocolos!$A$6:$G$9992,2,FALSE),""),"Não localizado")</f>
        <v/>
      </c>
      <c r="C75" s="23" t="str">
        <f>_xlfn.IFNA(IF($A75&lt;&gt;"",VLOOKUP($A75,Protocolos!$A$6:$G$9992,7,FALSE),""),"Não localizado")</f>
        <v/>
      </c>
      <c r="D75" s="23" t="str">
        <f>_xlfn.IFNA(IF($A75&lt;&gt;"",VLOOKUP($A75,Protocolos!$A$6:$G$9992,6,FALSE),""),"Não localizado")</f>
        <v/>
      </c>
      <c r="E75" s="50"/>
    </row>
    <row r="76" spans="1:5" x14ac:dyDescent="0.25">
      <c r="A76" s="24"/>
      <c r="B76" s="22" t="str">
        <f>_xlfn.IFNA(IF($A76&lt;&gt;"",VLOOKUP($A76,Protocolos!$A$6:$G$9992,2,FALSE),""),"Não localizado")</f>
        <v/>
      </c>
      <c r="C76" s="23" t="str">
        <f>_xlfn.IFNA(IF($A76&lt;&gt;"",VLOOKUP($A76,Protocolos!$A$6:$G$9992,7,FALSE),""),"Não localizado")</f>
        <v/>
      </c>
      <c r="D76" s="23" t="str">
        <f>_xlfn.IFNA(IF($A76&lt;&gt;"",VLOOKUP($A76,Protocolos!$A$6:$G$9992,6,FALSE),""),"Não localizado")</f>
        <v/>
      </c>
      <c r="E76" s="50"/>
    </row>
    <row r="77" spans="1:5" x14ac:dyDescent="0.25">
      <c r="A77" s="24"/>
      <c r="B77" s="22" t="str">
        <f>_xlfn.IFNA(IF($A77&lt;&gt;"",VLOOKUP($A77,Protocolos!$A$6:$G$9992,2,FALSE),""),"Não localizado")</f>
        <v/>
      </c>
      <c r="C77" s="23" t="str">
        <f>_xlfn.IFNA(IF($A77&lt;&gt;"",VLOOKUP($A77,Protocolos!$A$6:$G$9992,7,FALSE),""),"Não localizado")</f>
        <v/>
      </c>
      <c r="D77" s="23" t="str">
        <f>_xlfn.IFNA(IF($A77&lt;&gt;"",VLOOKUP($A77,Protocolos!$A$6:$G$9992,6,FALSE),""),"Não localizado")</f>
        <v/>
      </c>
      <c r="E77" s="50"/>
    </row>
    <row r="78" spans="1:5" x14ac:dyDescent="0.25">
      <c r="A78" s="24"/>
      <c r="B78" s="22" t="str">
        <f>_xlfn.IFNA(IF($A78&lt;&gt;"",VLOOKUP($A78,Protocolos!$A$6:$G$9992,2,FALSE),""),"Não localizado")</f>
        <v/>
      </c>
      <c r="C78" s="23" t="str">
        <f>_xlfn.IFNA(IF($A78&lt;&gt;"",VLOOKUP($A78,Protocolos!$A$6:$G$9992,7,FALSE),""),"Não localizado")</f>
        <v/>
      </c>
      <c r="D78" s="23" t="str">
        <f>_xlfn.IFNA(IF($A78&lt;&gt;"",VLOOKUP($A78,Protocolos!$A$6:$G$9992,6,FALSE),""),"Não localizado")</f>
        <v/>
      </c>
      <c r="E78" s="50"/>
    </row>
    <row r="79" spans="1:5" x14ac:dyDescent="0.25">
      <c r="A79" s="24"/>
      <c r="B79" s="22" t="str">
        <f>_xlfn.IFNA(IF($A79&lt;&gt;"",VLOOKUP($A79,Protocolos!$A$6:$G$9992,2,FALSE),""),"Não localizado")</f>
        <v/>
      </c>
      <c r="C79" s="23" t="str">
        <f>_xlfn.IFNA(IF($A79&lt;&gt;"",VLOOKUP($A79,Protocolos!$A$6:$G$9992,7,FALSE),""),"Não localizado")</f>
        <v/>
      </c>
      <c r="D79" s="23" t="str">
        <f>_xlfn.IFNA(IF($A79&lt;&gt;"",VLOOKUP($A79,Protocolos!$A$6:$G$9992,6,FALSE),""),"Não localizado")</f>
        <v/>
      </c>
      <c r="E79" s="50"/>
    </row>
    <row r="80" spans="1:5" x14ac:dyDescent="0.25">
      <c r="A80" s="24"/>
      <c r="B80" s="22" t="str">
        <f>_xlfn.IFNA(IF($A80&lt;&gt;"",VLOOKUP($A80,Protocolos!$A$6:$G$9992,2,FALSE),""),"Não localizado")</f>
        <v/>
      </c>
      <c r="C80" s="23" t="str">
        <f>_xlfn.IFNA(IF($A80&lt;&gt;"",VLOOKUP($A80,Protocolos!$A$6:$G$9992,7,FALSE),""),"Não localizado")</f>
        <v/>
      </c>
      <c r="D80" s="23" t="str">
        <f>_xlfn.IFNA(IF($A80&lt;&gt;"",VLOOKUP($A80,Protocolos!$A$6:$G$9992,6,FALSE),""),"Não localizado")</f>
        <v/>
      </c>
      <c r="E80" s="50"/>
    </row>
    <row r="81" spans="1:5" x14ac:dyDescent="0.25">
      <c r="A81" s="24"/>
      <c r="B81" s="22" t="str">
        <f>_xlfn.IFNA(IF($A81&lt;&gt;"",VLOOKUP($A81,Protocolos!$A$6:$G$9992,2,FALSE),""),"Não localizado")</f>
        <v/>
      </c>
      <c r="C81" s="23" t="str">
        <f>_xlfn.IFNA(IF($A81&lt;&gt;"",VLOOKUP($A81,Protocolos!$A$6:$G$9992,7,FALSE),""),"Não localizado")</f>
        <v/>
      </c>
      <c r="D81" s="23" t="str">
        <f>_xlfn.IFNA(IF($A81&lt;&gt;"",VLOOKUP($A81,Protocolos!$A$6:$G$9992,6,FALSE),""),"Não localizado")</f>
        <v/>
      </c>
      <c r="E81" s="50"/>
    </row>
    <row r="82" spans="1:5" x14ac:dyDescent="0.25">
      <c r="A82" s="24"/>
      <c r="B82" s="22" t="str">
        <f>_xlfn.IFNA(IF($A82&lt;&gt;"",VLOOKUP($A82,Protocolos!$A$6:$G$9992,2,FALSE),""),"Não localizado")</f>
        <v/>
      </c>
      <c r="C82" s="23" t="str">
        <f>_xlfn.IFNA(IF($A82&lt;&gt;"",VLOOKUP($A82,Protocolos!$A$6:$G$9992,7,FALSE),""),"Não localizado")</f>
        <v/>
      </c>
      <c r="D82" s="23" t="str">
        <f>_xlfn.IFNA(IF($A82&lt;&gt;"",VLOOKUP($A82,Protocolos!$A$6:$G$9992,6,FALSE),""),"Não localizado")</f>
        <v/>
      </c>
      <c r="E82" s="50"/>
    </row>
    <row r="83" spans="1:5" x14ac:dyDescent="0.25">
      <c r="A83" s="24"/>
      <c r="B83" s="22" t="str">
        <f>_xlfn.IFNA(IF($A83&lt;&gt;"",VLOOKUP($A83,Protocolos!$A$6:$G$9992,2,FALSE),""),"Não localizado")</f>
        <v/>
      </c>
      <c r="C83" s="23" t="str">
        <f>_xlfn.IFNA(IF($A83&lt;&gt;"",VLOOKUP($A83,Protocolos!$A$6:$G$9992,7,FALSE),""),"Não localizado")</f>
        <v/>
      </c>
      <c r="D83" s="23" t="str">
        <f>_xlfn.IFNA(IF($A83&lt;&gt;"",VLOOKUP($A83,Protocolos!$A$6:$G$9992,6,FALSE),""),"Não localizado")</f>
        <v/>
      </c>
      <c r="E83" s="50"/>
    </row>
    <row r="84" spans="1:5" x14ac:dyDescent="0.25">
      <c r="A84" s="24"/>
      <c r="B84" s="22" t="str">
        <f>_xlfn.IFNA(IF($A84&lt;&gt;"",VLOOKUP($A84,Protocolos!$A$6:$G$9992,2,FALSE),""),"Não localizado")</f>
        <v/>
      </c>
      <c r="C84" s="23" t="str">
        <f>_xlfn.IFNA(IF($A84&lt;&gt;"",VLOOKUP($A84,Protocolos!$A$6:$G$9992,7,FALSE),""),"Não localizado")</f>
        <v/>
      </c>
      <c r="D84" s="23" t="str">
        <f>_xlfn.IFNA(IF($A84&lt;&gt;"",VLOOKUP($A84,Protocolos!$A$6:$G$9992,6,FALSE),""),"Não localizado")</f>
        <v/>
      </c>
      <c r="E84" s="50"/>
    </row>
    <row r="85" spans="1:5" x14ac:dyDescent="0.25">
      <c r="A85" s="24"/>
      <c r="B85" s="22" t="str">
        <f>_xlfn.IFNA(IF($A85&lt;&gt;"",VLOOKUP($A85,Protocolos!$A$6:$G$9992,2,FALSE),""),"Não localizado")</f>
        <v/>
      </c>
      <c r="C85" s="23" t="str">
        <f>_xlfn.IFNA(IF($A85&lt;&gt;"",VLOOKUP($A85,Protocolos!$A$6:$G$9992,7,FALSE),""),"Não localizado")</f>
        <v/>
      </c>
      <c r="D85" s="23" t="str">
        <f>_xlfn.IFNA(IF($A85&lt;&gt;"",VLOOKUP($A85,Protocolos!$A$6:$G$9992,6,FALSE),""),"Não localizado")</f>
        <v/>
      </c>
      <c r="E85" s="50"/>
    </row>
    <row r="86" spans="1:5" x14ac:dyDescent="0.25">
      <c r="A86" s="24"/>
      <c r="B86" s="22" t="str">
        <f>_xlfn.IFNA(IF($A86&lt;&gt;"",VLOOKUP($A86,Protocolos!$A$6:$G$9992,2,FALSE),""),"Não localizado")</f>
        <v/>
      </c>
      <c r="C86" s="23" t="str">
        <f>_xlfn.IFNA(IF($A86&lt;&gt;"",VLOOKUP($A86,Protocolos!$A$6:$G$9992,7,FALSE),""),"Não localizado")</f>
        <v/>
      </c>
      <c r="D86" s="23" t="str">
        <f>_xlfn.IFNA(IF($A86&lt;&gt;"",VLOOKUP($A86,Protocolos!$A$6:$G$9992,6,FALSE),""),"Não localizado")</f>
        <v/>
      </c>
      <c r="E86" s="50"/>
    </row>
    <row r="87" spans="1:5" x14ac:dyDescent="0.25">
      <c r="A87" s="24"/>
      <c r="B87" s="22" t="str">
        <f>_xlfn.IFNA(IF($A87&lt;&gt;"",VLOOKUP($A87,Protocolos!$A$6:$G$9992,2,FALSE),""),"Não localizado")</f>
        <v/>
      </c>
      <c r="C87" s="23" t="str">
        <f>_xlfn.IFNA(IF($A87&lt;&gt;"",VLOOKUP($A87,Protocolos!$A$6:$G$9992,7,FALSE),""),"Não localizado")</f>
        <v/>
      </c>
      <c r="D87" s="23" t="str">
        <f>_xlfn.IFNA(IF($A87&lt;&gt;"",VLOOKUP($A87,Protocolos!$A$6:$G$9992,6,FALSE),""),"Não localizado")</f>
        <v/>
      </c>
      <c r="E87" s="50"/>
    </row>
    <row r="88" spans="1:5" x14ac:dyDescent="0.25">
      <c r="A88" s="24"/>
      <c r="B88" s="22" t="str">
        <f>_xlfn.IFNA(IF($A88&lt;&gt;"",VLOOKUP($A88,Protocolos!$A$6:$G$9992,2,FALSE),""),"Não localizado")</f>
        <v/>
      </c>
      <c r="C88" s="23" t="str">
        <f>_xlfn.IFNA(IF($A88&lt;&gt;"",VLOOKUP($A88,Protocolos!$A$6:$G$9992,7,FALSE),""),"Não localizado")</f>
        <v/>
      </c>
      <c r="D88" s="23" t="str">
        <f>_xlfn.IFNA(IF($A88&lt;&gt;"",VLOOKUP($A88,Protocolos!$A$6:$G$9992,6,FALSE),""),"Não localizado")</f>
        <v/>
      </c>
      <c r="E88" s="50"/>
    </row>
    <row r="89" spans="1:5" x14ac:dyDescent="0.25">
      <c r="A89" s="24"/>
      <c r="B89" s="22" t="str">
        <f>_xlfn.IFNA(IF($A89&lt;&gt;"",VLOOKUP($A89,Protocolos!$A$6:$G$9992,2,FALSE),""),"Não localizado")</f>
        <v/>
      </c>
      <c r="C89" s="23" t="str">
        <f>_xlfn.IFNA(IF($A89&lt;&gt;"",VLOOKUP($A89,Protocolos!$A$6:$G$9992,7,FALSE),""),"Não localizado")</f>
        <v/>
      </c>
      <c r="D89" s="23" t="str">
        <f>_xlfn.IFNA(IF($A89&lt;&gt;"",VLOOKUP($A89,Protocolos!$A$6:$G$9992,6,FALSE),""),"Não localizado")</f>
        <v/>
      </c>
      <c r="E89" s="50"/>
    </row>
    <row r="90" spans="1:5" x14ac:dyDescent="0.25">
      <c r="A90" s="24"/>
      <c r="B90" s="22" t="str">
        <f>_xlfn.IFNA(IF($A90&lt;&gt;"",VLOOKUP($A90,Protocolos!$A$6:$G$9992,2,FALSE),""),"Não localizado")</f>
        <v/>
      </c>
      <c r="C90" s="23" t="str">
        <f>_xlfn.IFNA(IF($A90&lt;&gt;"",VLOOKUP($A90,Protocolos!$A$6:$G$9992,7,FALSE),""),"Não localizado")</f>
        <v/>
      </c>
      <c r="D90" s="23" t="str">
        <f>_xlfn.IFNA(IF($A90&lt;&gt;"",VLOOKUP($A90,Protocolos!$A$6:$G$9992,6,FALSE),""),"Não localizado")</f>
        <v/>
      </c>
      <c r="E90" s="50"/>
    </row>
    <row r="91" spans="1:5" x14ac:dyDescent="0.25">
      <c r="A91" s="24"/>
      <c r="B91" s="22" t="str">
        <f>_xlfn.IFNA(IF($A91&lt;&gt;"",VLOOKUP($A91,Protocolos!$A$6:$G$9992,2,FALSE),""),"Não localizado")</f>
        <v/>
      </c>
      <c r="C91" s="23" t="str">
        <f>_xlfn.IFNA(IF($A91&lt;&gt;"",VLOOKUP($A91,Protocolos!$A$6:$G$9992,7,FALSE),""),"Não localizado")</f>
        <v/>
      </c>
      <c r="D91" s="23" t="str">
        <f>_xlfn.IFNA(IF($A91&lt;&gt;"",VLOOKUP($A91,Protocolos!$A$6:$G$9992,6,FALSE),""),"Não localizado")</f>
        <v/>
      </c>
      <c r="E91" s="50"/>
    </row>
    <row r="92" spans="1:5" x14ac:dyDescent="0.25">
      <c r="A92" s="24"/>
      <c r="B92" s="22" t="str">
        <f>_xlfn.IFNA(IF($A92&lt;&gt;"",VLOOKUP($A92,Protocolos!$A$6:$G$9992,2,FALSE),""),"Não localizado")</f>
        <v/>
      </c>
      <c r="C92" s="23" t="str">
        <f>_xlfn.IFNA(IF($A92&lt;&gt;"",VLOOKUP($A92,Protocolos!$A$6:$G$9992,7,FALSE),""),"Não localizado")</f>
        <v/>
      </c>
      <c r="D92" s="23" t="str">
        <f>_xlfn.IFNA(IF($A92&lt;&gt;"",VLOOKUP($A92,Protocolos!$A$6:$G$9992,6,FALSE),""),"Não localizado")</f>
        <v/>
      </c>
      <c r="E92" s="50"/>
    </row>
    <row r="93" spans="1:5" x14ac:dyDescent="0.25">
      <c r="A93" s="24"/>
      <c r="B93" s="22" t="str">
        <f>_xlfn.IFNA(IF($A93&lt;&gt;"",VLOOKUP($A93,Protocolos!$A$6:$G$9992,2,FALSE),""),"Não localizado")</f>
        <v/>
      </c>
      <c r="C93" s="23" t="str">
        <f>_xlfn.IFNA(IF($A93&lt;&gt;"",VLOOKUP($A93,Protocolos!$A$6:$G$9992,7,FALSE),""),"Não localizado")</f>
        <v/>
      </c>
      <c r="D93" s="23" t="str">
        <f>_xlfn.IFNA(IF($A93&lt;&gt;"",VLOOKUP($A93,Protocolos!$A$6:$G$9992,6,FALSE),""),"Não localizado")</f>
        <v/>
      </c>
      <c r="E93" s="50"/>
    </row>
    <row r="94" spans="1:5" x14ac:dyDescent="0.25">
      <c r="A94" s="24"/>
      <c r="B94" s="22" t="str">
        <f>_xlfn.IFNA(IF($A94&lt;&gt;"",VLOOKUP($A94,Protocolos!$A$6:$G$9992,2,FALSE),""),"Não localizado")</f>
        <v/>
      </c>
      <c r="C94" s="23" t="str">
        <f>_xlfn.IFNA(IF($A94&lt;&gt;"",VLOOKUP($A94,Protocolos!$A$6:$G$9992,7,FALSE),""),"Não localizado")</f>
        <v/>
      </c>
      <c r="D94" s="23" t="str">
        <f>_xlfn.IFNA(IF($A94&lt;&gt;"",VLOOKUP($A94,Protocolos!$A$6:$G$9992,6,FALSE),""),"Não localizado")</f>
        <v/>
      </c>
      <c r="E94" s="50"/>
    </row>
    <row r="95" spans="1:5" x14ac:dyDescent="0.25">
      <c r="A95" s="24"/>
      <c r="B95" s="22" t="str">
        <f>_xlfn.IFNA(IF($A95&lt;&gt;"",VLOOKUP($A95,Protocolos!$A$6:$G$9992,2,FALSE),""),"Não localizado")</f>
        <v/>
      </c>
      <c r="C95" s="23" t="str">
        <f>_xlfn.IFNA(IF($A95&lt;&gt;"",VLOOKUP($A95,Protocolos!$A$6:$G$9992,7,FALSE),""),"Não localizado")</f>
        <v/>
      </c>
      <c r="D95" s="23" t="str">
        <f>_xlfn.IFNA(IF($A95&lt;&gt;"",VLOOKUP($A95,Protocolos!$A$6:$G$9992,6,FALSE),""),"Não localizado")</f>
        <v/>
      </c>
      <c r="E95" s="50"/>
    </row>
    <row r="96" spans="1:5" x14ac:dyDescent="0.25">
      <c r="A96" s="24"/>
      <c r="B96" s="22" t="str">
        <f>_xlfn.IFNA(IF($A96&lt;&gt;"",VLOOKUP($A96,Protocolos!$A$6:$G$9992,2,FALSE),""),"Não localizado")</f>
        <v/>
      </c>
      <c r="C96" s="23" t="str">
        <f>_xlfn.IFNA(IF($A96&lt;&gt;"",VLOOKUP($A96,Protocolos!$A$6:$G$9992,7,FALSE),""),"Não localizado")</f>
        <v/>
      </c>
      <c r="D96" s="23" t="str">
        <f>_xlfn.IFNA(IF($A96&lt;&gt;"",VLOOKUP($A96,Protocolos!$A$6:$G$9992,6,FALSE),""),"Não localizado")</f>
        <v/>
      </c>
      <c r="E96" s="50"/>
    </row>
    <row r="97" spans="1:5" x14ac:dyDescent="0.25">
      <c r="A97" s="24"/>
      <c r="B97" s="22" t="str">
        <f>_xlfn.IFNA(IF($A97&lt;&gt;"",VLOOKUP($A97,Protocolos!$A$6:$G$9992,2,FALSE),""),"Não localizado")</f>
        <v/>
      </c>
      <c r="C97" s="23" t="str">
        <f>_xlfn.IFNA(IF($A97&lt;&gt;"",VLOOKUP($A97,Protocolos!$A$6:$G$9992,7,FALSE),""),"Não localizado")</f>
        <v/>
      </c>
      <c r="D97" s="23" t="str">
        <f>_xlfn.IFNA(IF($A97&lt;&gt;"",VLOOKUP($A97,Protocolos!$A$6:$G$9992,6,FALSE),""),"Não localizado")</f>
        <v/>
      </c>
      <c r="E97" s="50"/>
    </row>
    <row r="98" spans="1:5" x14ac:dyDescent="0.25">
      <c r="A98" s="24"/>
      <c r="B98" s="22" t="str">
        <f>_xlfn.IFNA(IF($A98&lt;&gt;"",VLOOKUP($A98,Protocolos!$A$6:$G$9992,2,FALSE),""),"Não localizado")</f>
        <v/>
      </c>
      <c r="C98" s="23" t="str">
        <f>_xlfn.IFNA(IF($A98&lt;&gt;"",VLOOKUP($A98,Protocolos!$A$6:$G$9992,7,FALSE),""),"Não localizado")</f>
        <v/>
      </c>
      <c r="D98" s="23" t="str">
        <f>_xlfn.IFNA(IF($A98&lt;&gt;"",VLOOKUP($A98,Protocolos!$A$6:$G$9992,6,FALSE),""),"Não localizado")</f>
        <v/>
      </c>
      <c r="E98" s="50"/>
    </row>
    <row r="99" spans="1:5" x14ac:dyDescent="0.25">
      <c r="A99" s="24"/>
      <c r="B99" s="22" t="str">
        <f>_xlfn.IFNA(IF($A99&lt;&gt;"",VLOOKUP($A99,Protocolos!$A$6:$G$9992,2,FALSE),""),"Não localizado")</f>
        <v/>
      </c>
      <c r="C99" s="23" t="str">
        <f>_xlfn.IFNA(IF($A99&lt;&gt;"",VLOOKUP($A99,Protocolos!$A$6:$G$9992,7,FALSE),""),"Não localizado")</f>
        <v/>
      </c>
      <c r="D99" s="23" t="str">
        <f>_xlfn.IFNA(IF($A99&lt;&gt;"",VLOOKUP($A99,Protocolos!$A$6:$G$9992,6,FALSE),""),"Não localizado")</f>
        <v/>
      </c>
      <c r="E99" s="50"/>
    </row>
    <row r="100" spans="1:5" x14ac:dyDescent="0.25">
      <c r="A100" s="24"/>
      <c r="B100" s="22" t="str">
        <f>_xlfn.IFNA(IF($A100&lt;&gt;"",VLOOKUP($A100,Protocolos!$A$6:$G$9992,2,FALSE),""),"Não localizado")</f>
        <v/>
      </c>
      <c r="C100" s="23" t="str">
        <f>_xlfn.IFNA(IF($A100&lt;&gt;"",VLOOKUP($A100,Protocolos!$A$6:$G$9992,7,FALSE),""),"Não localizado")</f>
        <v/>
      </c>
      <c r="D100" s="23" t="str">
        <f>_xlfn.IFNA(IF($A100&lt;&gt;"",VLOOKUP($A100,Protocolos!$A$6:$G$9992,6,FALSE),""),"Não localizado")</f>
        <v/>
      </c>
      <c r="E100" s="50"/>
    </row>
    <row r="101" spans="1:5" x14ac:dyDescent="0.25">
      <c r="A101" s="24"/>
      <c r="B101" s="22" t="str">
        <f>_xlfn.IFNA(IF($A101&lt;&gt;"",VLOOKUP($A101,Protocolos!$A$6:$G$9992,2,FALSE),""),"Não localizado")</f>
        <v/>
      </c>
      <c r="C101" s="23" t="str">
        <f>_xlfn.IFNA(IF($A101&lt;&gt;"",VLOOKUP($A101,Protocolos!$A$6:$G$9992,7,FALSE),""),"Não localizado")</f>
        <v/>
      </c>
      <c r="D101" s="23" t="str">
        <f>_xlfn.IFNA(IF($A101&lt;&gt;"",VLOOKUP($A101,Protocolos!$A$6:$G$9992,6,FALSE),""),"Não localizado")</f>
        <v/>
      </c>
      <c r="E101" s="50"/>
    </row>
    <row r="102" spans="1:5" x14ac:dyDescent="0.25">
      <c r="A102" s="24"/>
      <c r="B102" s="22" t="str">
        <f>_xlfn.IFNA(IF($A102&lt;&gt;"",VLOOKUP($A102,Protocolos!$A$6:$G$9992,2,FALSE),""),"Não localizado")</f>
        <v/>
      </c>
      <c r="C102" s="23" t="str">
        <f>_xlfn.IFNA(IF($A102&lt;&gt;"",VLOOKUP($A102,Protocolos!$A$6:$G$9992,7,FALSE),""),"Não localizado")</f>
        <v/>
      </c>
      <c r="D102" s="23" t="str">
        <f>_xlfn.IFNA(IF($A102&lt;&gt;"",VLOOKUP($A102,Protocolos!$A$6:$G$9992,6,FALSE),""),"Não localizado")</f>
        <v/>
      </c>
      <c r="E102" s="50"/>
    </row>
    <row r="103" spans="1:5" x14ac:dyDescent="0.25">
      <c r="A103" s="24"/>
      <c r="B103" s="22" t="str">
        <f>_xlfn.IFNA(IF($A103&lt;&gt;"",VLOOKUP($A103,Protocolos!$A$6:$G$9992,2,FALSE),""),"Não localizado")</f>
        <v/>
      </c>
      <c r="C103" s="23" t="str">
        <f>_xlfn.IFNA(IF($A103&lt;&gt;"",VLOOKUP($A103,Protocolos!$A$6:$G$9992,7,FALSE),""),"Não localizado")</f>
        <v/>
      </c>
      <c r="D103" s="23" t="str">
        <f>_xlfn.IFNA(IF($A103&lt;&gt;"",VLOOKUP($A103,Protocolos!$A$6:$G$9992,6,FALSE),""),"Não localizado")</f>
        <v/>
      </c>
      <c r="E103" s="50"/>
    </row>
    <row r="104" spans="1:5" x14ac:dyDescent="0.25">
      <c r="A104" s="24"/>
      <c r="B104" s="22" t="str">
        <f>_xlfn.IFNA(IF($A104&lt;&gt;"",VLOOKUP($A104,Protocolos!$A$6:$G$9992,2,FALSE),""),"Não localizado")</f>
        <v/>
      </c>
      <c r="C104" s="23" t="str">
        <f>_xlfn.IFNA(IF($A104&lt;&gt;"",VLOOKUP($A104,Protocolos!$A$6:$G$9992,7,FALSE),""),"Não localizado")</f>
        <v/>
      </c>
      <c r="D104" s="23" t="str">
        <f>_xlfn.IFNA(IF($A104&lt;&gt;"",VLOOKUP($A104,Protocolos!$A$6:$G$9992,6,FALSE),""),"Não localizado")</f>
        <v/>
      </c>
      <c r="E104" s="50"/>
    </row>
    <row r="105" spans="1:5" x14ac:dyDescent="0.25">
      <c r="A105" s="24"/>
      <c r="B105" s="22" t="str">
        <f>_xlfn.IFNA(IF($A105&lt;&gt;"",VLOOKUP($A105,Protocolos!$A$6:$G$9992,2,FALSE),""),"Não localizado")</f>
        <v/>
      </c>
      <c r="C105" s="23" t="str">
        <f>_xlfn.IFNA(IF($A105&lt;&gt;"",VLOOKUP($A105,Protocolos!$A$6:$G$9992,7,FALSE),""),"Não localizado")</f>
        <v/>
      </c>
      <c r="D105" s="23" t="str">
        <f>_xlfn.IFNA(IF($A105&lt;&gt;"",VLOOKUP($A105,Protocolos!$A$6:$G$9992,6,FALSE),""),"Não localizado")</f>
        <v/>
      </c>
      <c r="E105" s="50"/>
    </row>
    <row r="106" spans="1:5" x14ac:dyDescent="0.25">
      <c r="A106" s="24"/>
      <c r="B106" s="22" t="str">
        <f>_xlfn.IFNA(IF($A106&lt;&gt;"",VLOOKUP($A106,Protocolos!$A$6:$G$9992,2,FALSE),""),"Não localizado")</f>
        <v/>
      </c>
      <c r="C106" s="23" t="str">
        <f>_xlfn.IFNA(IF($A106&lt;&gt;"",VLOOKUP($A106,Protocolos!$A$6:$G$9992,7,FALSE),""),"Não localizado")</f>
        <v/>
      </c>
      <c r="D106" s="23" t="str">
        <f>_xlfn.IFNA(IF($A106&lt;&gt;"",VLOOKUP($A106,Protocolos!$A$6:$G$9992,6,FALSE),""),"Não localizado")</f>
        <v/>
      </c>
      <c r="E106" s="50"/>
    </row>
    <row r="107" spans="1:5" x14ac:dyDescent="0.25">
      <c r="A107" s="24"/>
      <c r="B107" s="22" t="str">
        <f>_xlfn.IFNA(IF($A107&lt;&gt;"",VLOOKUP($A107,Protocolos!$A$6:$G$9992,2,FALSE),""),"Não localizado")</f>
        <v/>
      </c>
      <c r="C107" s="23" t="str">
        <f>_xlfn.IFNA(IF($A107&lt;&gt;"",VLOOKUP($A107,Protocolos!$A$6:$G$9992,7,FALSE),""),"Não localizado")</f>
        <v/>
      </c>
      <c r="D107" s="23" t="str">
        <f>_xlfn.IFNA(IF($A107&lt;&gt;"",VLOOKUP($A107,Protocolos!$A$6:$G$9992,6,FALSE),""),"Não localizado")</f>
        <v/>
      </c>
      <c r="E107" s="50"/>
    </row>
    <row r="108" spans="1:5" x14ac:dyDescent="0.25">
      <c r="A108" s="24"/>
      <c r="B108" s="22" t="str">
        <f>_xlfn.IFNA(IF($A108&lt;&gt;"",VLOOKUP($A108,Protocolos!$A$6:$G$9992,2,FALSE),""),"Não localizado")</f>
        <v/>
      </c>
      <c r="C108" s="23" t="str">
        <f>_xlfn.IFNA(IF($A108&lt;&gt;"",VLOOKUP($A108,Protocolos!$A$6:$G$9992,7,FALSE),""),"Não localizado")</f>
        <v/>
      </c>
      <c r="D108" s="23" t="str">
        <f>_xlfn.IFNA(IF($A108&lt;&gt;"",VLOOKUP($A108,Protocolos!$A$6:$G$9992,6,FALSE),""),"Não localizado")</f>
        <v/>
      </c>
      <c r="E108" s="50"/>
    </row>
    <row r="109" spans="1:5" x14ac:dyDescent="0.25">
      <c r="A109" s="24"/>
      <c r="B109" s="22" t="str">
        <f>_xlfn.IFNA(IF($A109&lt;&gt;"",VLOOKUP($A109,Protocolos!$A$6:$G$9992,2,FALSE),""),"Não localizado")</f>
        <v/>
      </c>
      <c r="C109" s="23" t="str">
        <f>_xlfn.IFNA(IF($A109&lt;&gt;"",VLOOKUP($A109,Protocolos!$A$6:$G$9992,7,FALSE),""),"Não localizado")</f>
        <v/>
      </c>
      <c r="D109" s="23" t="str">
        <f>_xlfn.IFNA(IF($A109&lt;&gt;"",VLOOKUP($A109,Protocolos!$A$6:$G$9992,6,FALSE),""),"Não localizado")</f>
        <v/>
      </c>
      <c r="E109" s="50"/>
    </row>
    <row r="110" spans="1:5" x14ac:dyDescent="0.25">
      <c r="A110" s="24"/>
      <c r="B110" s="22" t="str">
        <f>_xlfn.IFNA(IF($A110&lt;&gt;"",VLOOKUP($A110,Protocolos!$A$6:$G$9992,2,FALSE),""),"Não localizado")</f>
        <v/>
      </c>
      <c r="C110" s="23" t="str">
        <f>_xlfn.IFNA(IF($A110&lt;&gt;"",VLOOKUP($A110,Protocolos!$A$6:$G$9992,7,FALSE),""),"Não localizado")</f>
        <v/>
      </c>
      <c r="D110" s="23" t="str">
        <f>_xlfn.IFNA(IF($A110&lt;&gt;"",VLOOKUP($A110,Protocolos!$A$6:$G$9992,6,FALSE),""),"Não localizado")</f>
        <v/>
      </c>
      <c r="E110" s="50"/>
    </row>
    <row r="111" spans="1:5" x14ac:dyDescent="0.25">
      <c r="A111" s="24"/>
      <c r="B111" s="22" t="str">
        <f>_xlfn.IFNA(IF($A111&lt;&gt;"",VLOOKUP($A111,Protocolos!$A$6:$G$9992,2,FALSE),""),"Não localizado")</f>
        <v/>
      </c>
      <c r="C111" s="23" t="str">
        <f>_xlfn.IFNA(IF($A111&lt;&gt;"",VLOOKUP($A111,Protocolos!$A$6:$G$9992,7,FALSE),""),"Não localizado")</f>
        <v/>
      </c>
      <c r="D111" s="23" t="str">
        <f>_xlfn.IFNA(IF($A111&lt;&gt;"",VLOOKUP($A111,Protocolos!$A$6:$G$9992,6,FALSE),""),"Não localizado")</f>
        <v/>
      </c>
      <c r="E111" s="50"/>
    </row>
    <row r="112" spans="1:5" x14ac:dyDescent="0.25">
      <c r="A112" s="24"/>
      <c r="B112" s="22" t="str">
        <f>_xlfn.IFNA(IF($A112&lt;&gt;"",VLOOKUP($A112,Protocolos!$A$6:$G$9992,2,FALSE),""),"Não localizado")</f>
        <v/>
      </c>
      <c r="C112" s="23" t="str">
        <f>_xlfn.IFNA(IF($A112&lt;&gt;"",VLOOKUP($A112,Protocolos!$A$6:$G$9992,7,FALSE),""),"Não localizado")</f>
        <v/>
      </c>
      <c r="D112" s="23" t="str">
        <f>_xlfn.IFNA(IF($A112&lt;&gt;"",VLOOKUP($A112,Protocolos!$A$6:$G$9992,6,FALSE),""),"Não localizado")</f>
        <v/>
      </c>
      <c r="E112" s="50"/>
    </row>
    <row r="113" spans="1:5" x14ac:dyDescent="0.25">
      <c r="A113" s="24"/>
      <c r="B113" s="22" t="str">
        <f>_xlfn.IFNA(IF($A113&lt;&gt;"",VLOOKUP($A113,Protocolos!$A$6:$G$9992,2,FALSE),""),"Não localizado")</f>
        <v/>
      </c>
      <c r="C113" s="23" t="str">
        <f>_xlfn.IFNA(IF($A113&lt;&gt;"",VLOOKUP($A113,Protocolos!$A$6:$G$9992,7,FALSE),""),"Não localizado")</f>
        <v/>
      </c>
      <c r="D113" s="23" t="str">
        <f>_xlfn.IFNA(IF($A113&lt;&gt;"",VLOOKUP($A113,Protocolos!$A$6:$G$9992,6,FALSE),""),"Não localizado")</f>
        <v/>
      </c>
      <c r="E113" s="50"/>
    </row>
    <row r="114" spans="1:5" x14ac:dyDescent="0.25">
      <c r="A114" s="24"/>
      <c r="B114" s="22" t="str">
        <f>_xlfn.IFNA(IF($A114&lt;&gt;"",VLOOKUP($A114,Protocolos!$A$6:$G$9992,2,FALSE),""),"Não localizado")</f>
        <v/>
      </c>
      <c r="C114" s="23" t="str">
        <f>_xlfn.IFNA(IF($A114&lt;&gt;"",VLOOKUP($A114,Protocolos!$A$6:$G$9992,7,FALSE),""),"Não localizado")</f>
        <v/>
      </c>
      <c r="D114" s="23" t="str">
        <f>_xlfn.IFNA(IF($A114&lt;&gt;"",VLOOKUP($A114,Protocolos!$A$6:$G$9992,6,FALSE),""),"Não localizado")</f>
        <v/>
      </c>
      <c r="E114" s="50"/>
    </row>
    <row r="115" spans="1:5" x14ac:dyDescent="0.25">
      <c r="A115" s="24"/>
      <c r="B115" s="22" t="str">
        <f>_xlfn.IFNA(IF($A115&lt;&gt;"",VLOOKUP($A115,Protocolos!$A$6:$G$9992,2,FALSE),""),"Não localizado")</f>
        <v/>
      </c>
      <c r="C115" s="23" t="str">
        <f>_xlfn.IFNA(IF($A115&lt;&gt;"",VLOOKUP($A115,Protocolos!$A$6:$G$9992,7,FALSE),""),"Não localizado")</f>
        <v/>
      </c>
      <c r="D115" s="23" t="str">
        <f>_xlfn.IFNA(IF($A115&lt;&gt;"",VLOOKUP($A115,Protocolos!$A$6:$G$9992,6,FALSE),""),"Não localizado")</f>
        <v/>
      </c>
      <c r="E115" s="50"/>
    </row>
    <row r="116" spans="1:5" x14ac:dyDescent="0.25">
      <c r="A116" s="24"/>
      <c r="B116" s="22" t="str">
        <f>_xlfn.IFNA(IF($A116&lt;&gt;"",VLOOKUP($A116,Protocolos!$A$6:$G$9992,2,FALSE),""),"Não localizado")</f>
        <v/>
      </c>
      <c r="C116" s="23" t="str">
        <f>_xlfn.IFNA(IF($A116&lt;&gt;"",VLOOKUP($A116,Protocolos!$A$6:$G$9992,7,FALSE),""),"Não localizado")</f>
        <v/>
      </c>
      <c r="D116" s="23" t="str">
        <f>_xlfn.IFNA(IF($A116&lt;&gt;"",VLOOKUP($A116,Protocolos!$A$6:$G$9992,6,FALSE),""),"Não localizado")</f>
        <v/>
      </c>
      <c r="E116" s="50"/>
    </row>
    <row r="117" spans="1:5" x14ac:dyDescent="0.25">
      <c r="A117" s="24"/>
      <c r="B117" s="22" t="str">
        <f>_xlfn.IFNA(IF($A117&lt;&gt;"",VLOOKUP($A117,Protocolos!$A$6:$G$9992,2,FALSE),""),"Não localizado")</f>
        <v/>
      </c>
      <c r="C117" s="23" t="str">
        <f>_xlfn.IFNA(IF($A117&lt;&gt;"",VLOOKUP($A117,Protocolos!$A$6:$G$9992,7,FALSE),""),"Não localizado")</f>
        <v/>
      </c>
      <c r="D117" s="23" t="str">
        <f>_xlfn.IFNA(IF($A117&lt;&gt;"",VLOOKUP($A117,Protocolos!$A$6:$G$9992,6,FALSE),""),"Não localizado")</f>
        <v/>
      </c>
      <c r="E117" s="50"/>
    </row>
    <row r="118" spans="1:5" x14ac:dyDescent="0.25">
      <c r="A118" s="24"/>
      <c r="B118" s="22" t="str">
        <f>_xlfn.IFNA(IF($A118&lt;&gt;"",VLOOKUP($A118,Protocolos!$A$6:$G$9992,2,FALSE),""),"Não localizado")</f>
        <v/>
      </c>
      <c r="C118" s="23" t="str">
        <f>_xlfn.IFNA(IF($A118&lt;&gt;"",VLOOKUP($A118,Protocolos!$A$6:$G$9992,7,FALSE),""),"Não localizado")</f>
        <v/>
      </c>
      <c r="D118" s="23" t="str">
        <f>_xlfn.IFNA(IF($A118&lt;&gt;"",VLOOKUP($A118,Protocolos!$A$6:$G$9992,6,FALSE),""),"Não localizado")</f>
        <v/>
      </c>
      <c r="E118" s="50"/>
    </row>
    <row r="119" spans="1:5" x14ac:dyDescent="0.25">
      <c r="A119" s="24"/>
      <c r="B119" s="22" t="str">
        <f>_xlfn.IFNA(IF($A119&lt;&gt;"",VLOOKUP($A119,Protocolos!$A$6:$G$9992,2,FALSE),""),"Não localizado")</f>
        <v/>
      </c>
      <c r="C119" s="23" t="str">
        <f>_xlfn.IFNA(IF($A119&lt;&gt;"",VLOOKUP($A119,Protocolos!$A$6:$G$9992,7,FALSE),""),"Não localizado")</f>
        <v/>
      </c>
      <c r="D119" s="23" t="str">
        <f>_xlfn.IFNA(IF($A119&lt;&gt;"",VLOOKUP($A119,Protocolos!$A$6:$G$9992,6,FALSE),""),"Não localizado")</f>
        <v/>
      </c>
      <c r="E119" s="50"/>
    </row>
    <row r="120" spans="1:5" x14ac:dyDescent="0.25">
      <c r="A120" s="24"/>
      <c r="B120" s="22" t="str">
        <f>_xlfn.IFNA(IF($A120&lt;&gt;"",VLOOKUP($A120,Protocolos!$A$6:$G$9992,2,FALSE),""),"Não localizado")</f>
        <v/>
      </c>
      <c r="C120" s="23" t="str">
        <f>_xlfn.IFNA(IF($A120&lt;&gt;"",VLOOKUP($A120,Protocolos!$A$6:$G$9992,7,FALSE),""),"Não localizado")</f>
        <v/>
      </c>
      <c r="D120" s="23" t="str">
        <f>_xlfn.IFNA(IF($A120&lt;&gt;"",VLOOKUP($A120,Protocolos!$A$6:$G$9992,6,FALSE),""),"Não localizado")</f>
        <v/>
      </c>
      <c r="E120" s="50"/>
    </row>
    <row r="121" spans="1:5" x14ac:dyDescent="0.25">
      <c r="A121" s="24"/>
      <c r="B121" s="22" t="str">
        <f>_xlfn.IFNA(IF($A121&lt;&gt;"",VLOOKUP($A121,Protocolos!$A$6:$G$9992,2,FALSE),""),"Não localizado")</f>
        <v/>
      </c>
      <c r="C121" s="23" t="str">
        <f>_xlfn.IFNA(IF($A121&lt;&gt;"",VLOOKUP($A121,Protocolos!$A$6:$G$9992,7,FALSE),""),"Não localizado")</f>
        <v/>
      </c>
      <c r="D121" s="23" t="str">
        <f>_xlfn.IFNA(IF($A121&lt;&gt;"",VLOOKUP($A121,Protocolos!$A$6:$G$9992,6,FALSE),""),"Não localizado")</f>
        <v/>
      </c>
      <c r="E121" s="50"/>
    </row>
    <row r="122" spans="1:5" x14ac:dyDescent="0.25">
      <c r="A122" s="24"/>
      <c r="B122" s="22" t="str">
        <f>_xlfn.IFNA(IF($A122&lt;&gt;"",VLOOKUP($A122,Protocolos!$A$6:$G$9992,2,FALSE),""),"Não localizado")</f>
        <v/>
      </c>
      <c r="C122" s="23" t="str">
        <f>_xlfn.IFNA(IF($A122&lt;&gt;"",VLOOKUP($A122,Protocolos!$A$6:$G$9992,7,FALSE),""),"Não localizado")</f>
        <v/>
      </c>
      <c r="D122" s="23" t="str">
        <f>_xlfn.IFNA(IF($A122&lt;&gt;"",VLOOKUP($A122,Protocolos!$A$6:$G$9992,6,FALSE),""),"Não localizado")</f>
        <v/>
      </c>
      <c r="E122" s="50"/>
    </row>
    <row r="123" spans="1:5" x14ac:dyDescent="0.25">
      <c r="A123" s="24"/>
      <c r="B123" s="22" t="str">
        <f>_xlfn.IFNA(IF($A123&lt;&gt;"",VLOOKUP($A123,Protocolos!$A$6:$G$9992,2,FALSE),""),"Não localizado")</f>
        <v/>
      </c>
      <c r="C123" s="23" t="str">
        <f>_xlfn.IFNA(IF($A123&lt;&gt;"",VLOOKUP($A123,Protocolos!$A$6:$G$9992,7,FALSE),""),"Não localizado")</f>
        <v/>
      </c>
      <c r="D123" s="23" t="str">
        <f>_xlfn.IFNA(IF($A123&lt;&gt;"",VLOOKUP($A123,Protocolos!$A$6:$G$9992,6,FALSE),""),"Não localizado")</f>
        <v/>
      </c>
      <c r="E123" s="50"/>
    </row>
    <row r="124" spans="1:5" x14ac:dyDescent="0.25">
      <c r="A124" s="24"/>
      <c r="B124" s="22" t="str">
        <f>_xlfn.IFNA(IF($A124&lt;&gt;"",VLOOKUP($A124,Protocolos!$A$6:$G$9992,2,FALSE),""),"Não localizado")</f>
        <v/>
      </c>
      <c r="C124" s="23" t="str">
        <f>_xlfn.IFNA(IF($A124&lt;&gt;"",VLOOKUP($A124,Protocolos!$A$6:$G$9992,7,FALSE),""),"Não localizado")</f>
        <v/>
      </c>
      <c r="D124" s="23" t="str">
        <f>_xlfn.IFNA(IF($A124&lt;&gt;"",VLOOKUP($A124,Protocolos!$A$6:$G$9992,6,FALSE),""),"Não localizado")</f>
        <v/>
      </c>
      <c r="E124" s="50"/>
    </row>
    <row r="125" spans="1:5" x14ac:dyDescent="0.25">
      <c r="A125" s="24"/>
      <c r="B125" s="22" t="str">
        <f>_xlfn.IFNA(IF($A125&lt;&gt;"",VLOOKUP($A125,Protocolos!$A$6:$G$9992,2,FALSE),""),"Não localizado")</f>
        <v/>
      </c>
      <c r="C125" s="23" t="str">
        <f>_xlfn.IFNA(IF($A125&lt;&gt;"",VLOOKUP($A125,Protocolos!$A$6:$G$9992,7,FALSE),""),"Não localizado")</f>
        <v/>
      </c>
      <c r="D125" s="23" t="str">
        <f>_xlfn.IFNA(IF($A125&lt;&gt;"",VLOOKUP($A125,Protocolos!$A$6:$G$9992,6,FALSE),""),"Não localizado")</f>
        <v/>
      </c>
      <c r="E125" s="50"/>
    </row>
    <row r="126" spans="1:5" x14ac:dyDescent="0.25">
      <c r="A126" s="24"/>
      <c r="B126" s="22" t="str">
        <f>_xlfn.IFNA(IF($A126&lt;&gt;"",VLOOKUP($A126,Protocolos!$A$6:$G$9992,2,FALSE),""),"Não localizado")</f>
        <v/>
      </c>
      <c r="C126" s="23" t="str">
        <f>_xlfn.IFNA(IF($A126&lt;&gt;"",VLOOKUP($A126,Protocolos!$A$6:$G$9992,7,FALSE),""),"Não localizado")</f>
        <v/>
      </c>
      <c r="D126" s="23" t="str">
        <f>_xlfn.IFNA(IF($A126&lt;&gt;"",VLOOKUP($A126,Protocolos!$A$6:$G$9992,6,FALSE),""),"Não localizado")</f>
        <v/>
      </c>
      <c r="E126" s="50"/>
    </row>
    <row r="127" spans="1:5" x14ac:dyDescent="0.25">
      <c r="A127" s="24"/>
      <c r="B127" s="22" t="str">
        <f>_xlfn.IFNA(IF($A127&lt;&gt;"",VLOOKUP($A127,Protocolos!$A$6:$G$9992,2,FALSE),""),"Não localizado")</f>
        <v/>
      </c>
      <c r="C127" s="23" t="str">
        <f>_xlfn.IFNA(IF($A127&lt;&gt;"",VLOOKUP($A127,Protocolos!$A$6:$G$9992,7,FALSE),""),"Não localizado")</f>
        <v/>
      </c>
      <c r="D127" s="23" t="str">
        <f>_xlfn.IFNA(IF($A127&lt;&gt;"",VLOOKUP($A127,Protocolos!$A$6:$G$9992,6,FALSE),""),"Não localizado")</f>
        <v/>
      </c>
      <c r="E127" s="50"/>
    </row>
    <row r="128" spans="1:5" x14ac:dyDescent="0.25">
      <c r="A128" s="24"/>
      <c r="B128" s="22" t="str">
        <f>_xlfn.IFNA(IF($A128&lt;&gt;"",VLOOKUP($A128,Protocolos!$A$6:$G$9992,2,FALSE),""),"Não localizado")</f>
        <v/>
      </c>
      <c r="C128" s="23" t="str">
        <f>_xlfn.IFNA(IF($A128&lt;&gt;"",VLOOKUP($A128,Protocolos!$A$6:$G$9992,7,FALSE),""),"Não localizado")</f>
        <v/>
      </c>
      <c r="D128" s="23" t="str">
        <f>_xlfn.IFNA(IF($A128&lt;&gt;"",VLOOKUP($A128,Protocolos!$A$6:$G$9992,6,FALSE),""),"Não localizado")</f>
        <v/>
      </c>
      <c r="E128" s="50"/>
    </row>
    <row r="129" spans="1:6" x14ac:dyDescent="0.25">
      <c r="A129" s="24"/>
      <c r="B129" s="22" t="str">
        <f>_xlfn.IFNA(IF($A129&lt;&gt;"",VLOOKUP($A129,Protocolos!$A$6:$G$9992,2,FALSE),""),"Não localizado")</f>
        <v/>
      </c>
      <c r="C129" s="23" t="str">
        <f>_xlfn.IFNA(IF($A129&lt;&gt;"",VLOOKUP($A129,Protocolos!$A$6:$G$9992,7,FALSE),""),"Não localizado")</f>
        <v/>
      </c>
      <c r="D129" s="23" t="str">
        <f>_xlfn.IFNA(IF($A129&lt;&gt;"",VLOOKUP($A129,Protocolos!$A$6:$G$9992,6,FALSE),""),"Não localizado")</f>
        <v/>
      </c>
      <c r="E129" s="50"/>
    </row>
    <row r="130" spans="1:6" x14ac:dyDescent="0.25">
      <c r="A130" s="24"/>
      <c r="B130" s="22" t="str">
        <f>_xlfn.IFNA(IF($A130&lt;&gt;"",VLOOKUP($A130,Protocolos!$A$6:$G$9992,2,FALSE),""),"Não localizado")</f>
        <v/>
      </c>
      <c r="C130" s="23" t="str">
        <f>_xlfn.IFNA(IF($A130&lt;&gt;"",VLOOKUP($A130,Protocolos!$A$6:$G$9992,7,FALSE),""),"Não localizado")</f>
        <v/>
      </c>
      <c r="D130" s="23" t="str">
        <f>_xlfn.IFNA(IF($A130&lt;&gt;"",VLOOKUP($A130,Protocolos!$A$6:$G$9992,6,FALSE),""),"Não localizado")</f>
        <v/>
      </c>
      <c r="E130" s="50"/>
    </row>
    <row r="131" spans="1:6" x14ac:dyDescent="0.25">
      <c r="A131" s="24"/>
      <c r="B131" s="22" t="str">
        <f>_xlfn.IFNA(IF($A131&lt;&gt;"",VLOOKUP($A131,Protocolos!$A$6:$G$9992,2,FALSE),""),"Não localizado")</f>
        <v/>
      </c>
      <c r="C131" s="23" t="str">
        <f>_xlfn.IFNA(IF($A131&lt;&gt;"",VLOOKUP($A131,Protocolos!$A$6:$G$9992,7,FALSE),""),"Não localizado")</f>
        <v/>
      </c>
      <c r="D131" s="23" t="str">
        <f>_xlfn.IFNA(IF($A131&lt;&gt;"",VLOOKUP($A131,Protocolos!$A$6:$G$9992,6,FALSE),""),"Não localizado")</f>
        <v/>
      </c>
      <c r="E131" s="50"/>
    </row>
    <row r="132" spans="1:6" x14ac:dyDescent="0.25">
      <c r="A132" s="24"/>
      <c r="B132" s="22" t="str">
        <f>_xlfn.IFNA(IF($A132&lt;&gt;"",VLOOKUP($A132,Protocolos!$A$6:$G$9992,2,FALSE),""),"Não localizado")</f>
        <v/>
      </c>
      <c r="C132" s="23" t="str">
        <f>_xlfn.IFNA(IF($A132&lt;&gt;"",VLOOKUP($A132,Protocolos!$A$6:$G$9992,7,FALSE),""),"Não localizado")</f>
        <v/>
      </c>
      <c r="D132" s="23" t="str">
        <f>_xlfn.IFNA(IF($A132&lt;&gt;"",VLOOKUP($A132,Protocolos!$A$6:$G$9992,6,FALSE),""),"Não localizado")</f>
        <v/>
      </c>
      <c r="E132" s="50"/>
    </row>
    <row r="133" spans="1:6" x14ac:dyDescent="0.25">
      <c r="A133" s="24"/>
      <c r="B133" s="22" t="str">
        <f>_xlfn.IFNA(IF($A133&lt;&gt;"",VLOOKUP($A133,Protocolos!$A$6:$G$9992,2,FALSE),""),"Não localizado")</f>
        <v/>
      </c>
      <c r="C133" s="23" t="str">
        <f>_xlfn.IFNA(IF($A133&lt;&gt;"",VLOOKUP($A133,Protocolos!$A$6:$G$9992,7,FALSE),""),"Não localizado")</f>
        <v/>
      </c>
      <c r="D133" s="23" t="str">
        <f>_xlfn.IFNA(IF($A133&lt;&gt;"",VLOOKUP($A133,Protocolos!$A$6:$G$9992,6,FALSE),""),"Não localizado")</f>
        <v/>
      </c>
      <c r="E133" s="50"/>
    </row>
    <row r="134" spans="1:6" x14ac:dyDescent="0.25">
      <c r="A134" s="24"/>
      <c r="B134" s="22" t="str">
        <f>_xlfn.IFNA(IF($A134&lt;&gt;"",VLOOKUP($A134,Protocolos!$A$6:$G$9992,2,FALSE),""),"Não localizado")</f>
        <v/>
      </c>
      <c r="C134" s="23" t="str">
        <f>_xlfn.IFNA(IF($A134&lt;&gt;"",VLOOKUP($A134,Protocolos!$A$6:$G$9992,7,FALSE),""),"Não localizado")</f>
        <v/>
      </c>
      <c r="D134" s="23" t="str">
        <f>_xlfn.IFNA(IF($A134&lt;&gt;"",VLOOKUP($A134,Protocolos!$A$6:$G$9992,6,FALSE),""),"Não localizado")</f>
        <v/>
      </c>
      <c r="E134" s="50"/>
    </row>
    <row r="135" spans="1:6" x14ac:dyDescent="0.25">
      <c r="A135" s="24"/>
      <c r="B135" s="22" t="str">
        <f>_xlfn.IFNA(IF($A135&lt;&gt;"",VLOOKUP($A135,Protocolos!$A$6:$G$9992,2,FALSE),""),"Não localizado")</f>
        <v/>
      </c>
      <c r="C135" s="23" t="str">
        <f>_xlfn.IFNA(IF($A135&lt;&gt;"",VLOOKUP($A135,Protocolos!$A$6:$G$9992,7,FALSE),""),"Não localizado")</f>
        <v/>
      </c>
      <c r="D135" s="23" t="str">
        <f>_xlfn.IFNA(IF($A135&lt;&gt;"",VLOOKUP($A135,Protocolos!$A$6:$G$9992,6,FALSE),""),"Não localizado")</f>
        <v/>
      </c>
      <c r="E135" s="50"/>
    </row>
    <row r="136" spans="1:6" x14ac:dyDescent="0.25">
      <c r="A136" s="24"/>
      <c r="B136" s="22" t="str">
        <f>_xlfn.IFNA(IF($A136&lt;&gt;"",VLOOKUP($A136,Protocolos!$A$6:$G$9992,2,FALSE),""),"Não localizado")</f>
        <v/>
      </c>
      <c r="C136" s="23" t="str">
        <f>_xlfn.IFNA(IF($A136&lt;&gt;"",VLOOKUP($A136,Protocolos!$A$6:$G$9992,7,FALSE),""),"Não localizado")</f>
        <v/>
      </c>
      <c r="D136" s="23" t="str">
        <f>_xlfn.IFNA(IF($A136&lt;&gt;"",VLOOKUP($A136,Protocolos!$A$6:$G$9992,6,FALSE),""),"Não localizado")</f>
        <v/>
      </c>
      <c r="E136" s="50"/>
    </row>
    <row r="137" spans="1:6" x14ac:dyDescent="0.25">
      <c r="A137" s="24"/>
      <c r="B137" s="22" t="str">
        <f>_xlfn.IFNA(IF($A137&lt;&gt;"",VLOOKUP($A137,Protocolos!$A$6:$G$9992,2,FALSE),""),"Não localizado")</f>
        <v/>
      </c>
      <c r="C137" s="23" t="str">
        <f>_xlfn.IFNA(IF($A137&lt;&gt;"",VLOOKUP($A137,Protocolos!$A$6:$G$9992,7,FALSE),""),"Não localizado")</f>
        <v/>
      </c>
      <c r="D137" s="23" t="str">
        <f>_xlfn.IFNA(IF($A137&lt;&gt;"",VLOOKUP($A137,Protocolos!$A$6:$G$9992,6,FALSE),""),"Não localizado")</f>
        <v/>
      </c>
      <c r="E137" s="50"/>
    </row>
    <row r="138" spans="1:6" x14ac:dyDescent="0.25">
      <c r="A138" s="24"/>
      <c r="B138" s="22" t="str">
        <f>_xlfn.IFNA(IF($A138&lt;&gt;"",VLOOKUP($A138,Protocolos!$A$6:$G$9992,2,FALSE),""),"Não localizado")</f>
        <v/>
      </c>
      <c r="C138" s="23" t="str">
        <f>_xlfn.IFNA(IF($A138&lt;&gt;"",VLOOKUP($A138,Protocolos!$A$6:$G$9992,7,FALSE),""),"Não localizado")</f>
        <v/>
      </c>
      <c r="D138" s="23" t="str">
        <f>_xlfn.IFNA(IF($A138&lt;&gt;"",VLOOKUP($A138,Protocolos!$A$6:$G$9992,6,FALSE),""),"Não localizado")</f>
        <v/>
      </c>
      <c r="E138" s="50"/>
    </row>
    <row r="139" spans="1:6" x14ac:dyDescent="0.25">
      <c r="A139" s="24"/>
      <c r="B139" s="22" t="str">
        <f>_xlfn.IFNA(IF($A139&lt;&gt;"",VLOOKUP($A139,Protocolos!$A$6:$G$9992,2,FALSE),""),"Não localizado")</f>
        <v/>
      </c>
      <c r="C139" s="23" t="str">
        <f>_xlfn.IFNA(IF($A139&lt;&gt;"",VLOOKUP($A139,Protocolos!$A$6:$G$9992,7,FALSE),""),"Não localizado")</f>
        <v/>
      </c>
      <c r="D139" s="23" t="str">
        <f>_xlfn.IFNA(IF($A139&lt;&gt;"",VLOOKUP($A139,Protocolos!$A$6:$G$9992,6,FALSE),""),"Não localizado")</f>
        <v/>
      </c>
      <c r="E139" s="50"/>
    </row>
    <row r="140" spans="1:6" x14ac:dyDescent="0.25">
      <c r="A140" s="24"/>
      <c r="B140" s="22" t="str">
        <f>_xlfn.IFNA(IF($A140&lt;&gt;"",VLOOKUP($A140,Protocolos!$A$6:$G$9992,2,FALSE),""),"Não localizado")</f>
        <v/>
      </c>
      <c r="C140" s="23" t="str">
        <f>_xlfn.IFNA(IF($A140&lt;&gt;"",VLOOKUP($A140,Protocolos!$A$6:$G$9992,7,FALSE),""),"Não localizado")</f>
        <v/>
      </c>
      <c r="D140" s="23" t="str">
        <f>_xlfn.IFNA(IF($A140&lt;&gt;"",VLOOKUP($A140,Protocolos!$A$6:$G$9992,6,FALSE),""),"Não localizado")</f>
        <v/>
      </c>
      <c r="E140" s="50"/>
    </row>
    <row r="141" spans="1:6" x14ac:dyDescent="0.25">
      <c r="A141" s="24"/>
      <c r="B141" s="22" t="str">
        <f>_xlfn.IFNA(IF($A141&lt;&gt;"",VLOOKUP($A141,Protocolos!$A$6:$G$9992,2,FALSE),""),"Não localizado")</f>
        <v/>
      </c>
      <c r="C141" s="23" t="str">
        <f>_xlfn.IFNA(IF($A141&lt;&gt;"",VLOOKUP($A141,Protocolos!$A$6:$G$9992,7,FALSE),""),"Não localizado")</f>
        <v/>
      </c>
      <c r="D141" s="23" t="str">
        <f>_xlfn.IFNA(IF($A141&lt;&gt;"",VLOOKUP($A141,Protocolos!$A$6:$G$9992,6,FALSE),""),"Não localizado")</f>
        <v/>
      </c>
      <c r="E141" s="50"/>
    </row>
    <row r="142" spans="1:6" x14ac:dyDescent="0.25">
      <c r="A142" s="24"/>
      <c r="B142" s="22" t="str">
        <f>_xlfn.IFNA(IF($A142&lt;&gt;"",VLOOKUP($A142,Protocolos!$A$6:$G$9992,2,FALSE),""),"Não localizado")</f>
        <v/>
      </c>
      <c r="C142" s="23" t="str">
        <f>_xlfn.IFNA(IF($A142&lt;&gt;"",VLOOKUP($A142,Protocolos!$A$6:$G$9992,7,FALSE),""),"Não localizado")</f>
        <v/>
      </c>
      <c r="D142" s="23" t="str">
        <f>_xlfn.IFNA(IF($A142&lt;&gt;"",VLOOKUP($A142,Protocolos!$A$6:$G$9992,6,FALSE),""),"Não localizado")</f>
        <v/>
      </c>
      <c r="E142" s="50"/>
    </row>
    <row r="143" spans="1:6" x14ac:dyDescent="0.25">
      <c r="A143" s="24"/>
      <c r="B143" s="22" t="str">
        <f>_xlfn.IFNA(IF($A143&lt;&gt;"",VLOOKUP($A143,Protocolos!$A$6:$G$9992,2,FALSE),""),"Não localizado")</f>
        <v/>
      </c>
      <c r="C143" s="23" t="str">
        <f>_xlfn.IFNA(IF($A143&lt;&gt;"",VLOOKUP($A143,Protocolos!$A$6:$G$9992,7,FALSE),""),"Não localizado")</f>
        <v/>
      </c>
      <c r="D143" s="23" t="str">
        <f>_xlfn.IFNA(IF($A143&lt;&gt;"",VLOOKUP($A143,Protocolos!$A$6:$G$9992,6,FALSE),""),"Não localizado")</f>
        <v/>
      </c>
      <c r="E143" s="50"/>
    </row>
    <row r="144" spans="1:6" x14ac:dyDescent="0.25">
      <c r="A144" s="24"/>
      <c r="B144" s="22" t="str">
        <f>_xlfn.IFNA(IF($A144&lt;&gt;"",VLOOKUP($A144,Protocolos!$A$6:$G$9992,2,FALSE),""),"Não localizado")</f>
        <v/>
      </c>
      <c r="C144" s="23" t="str">
        <f>_xlfn.IFNA(IF($A144&lt;&gt;"",VLOOKUP($A144,Protocolos!$A$6:$G$9992,7,FALSE),""),"Não localizado")</f>
        <v/>
      </c>
      <c r="D144" s="23" t="str">
        <f>_xlfn.IFNA(IF($A144&lt;&gt;"",VLOOKUP($A144,Protocolos!$A$6:$G$9992,6,FALSE),""),"Não localizado")</f>
        <v/>
      </c>
      <c r="E144" s="50"/>
    </row>
    <row r="145" spans="1:5" x14ac:dyDescent="0.25">
      <c r="A145" s="24"/>
      <c r="B145" s="22" t="str">
        <f>_xlfn.IFNA(IF($A145&lt;&gt;"",VLOOKUP($A145,Protocolos!$A$6:$G$9992,2,FALSE),""),"Não localizado")</f>
        <v/>
      </c>
      <c r="C145" s="23" t="str">
        <f>_xlfn.IFNA(IF($A145&lt;&gt;"",VLOOKUP($A145,Protocolos!$A$6:$G$9992,7,FALSE),""),"Não localizado")</f>
        <v/>
      </c>
      <c r="D145" s="23" t="str">
        <f>_xlfn.IFNA(IF($A145&lt;&gt;"",VLOOKUP($A145,Protocolos!$A$6:$G$9992,6,FALSE),""),"Não localizado")</f>
        <v/>
      </c>
      <c r="E145" s="50"/>
    </row>
    <row r="146" spans="1:5" x14ac:dyDescent="0.25">
      <c r="A146" s="24"/>
      <c r="B146" s="22" t="str">
        <f>_xlfn.IFNA(IF($A146&lt;&gt;"",VLOOKUP($A146,Protocolos!$A$6:$G$9992,2,FALSE),""),"Não localizado")</f>
        <v/>
      </c>
      <c r="C146" s="23" t="str">
        <f>_xlfn.IFNA(IF($A146&lt;&gt;"",VLOOKUP($A146,Protocolos!$A$6:$G$9992,7,FALSE),""),"Não localizado")</f>
        <v/>
      </c>
      <c r="D146" s="23" t="str">
        <f>_xlfn.IFNA(IF($A146&lt;&gt;"",VLOOKUP($A146,Protocolos!$A$6:$G$9992,6,FALSE),""),"Não localizado")</f>
        <v/>
      </c>
      <c r="E146" s="50"/>
    </row>
    <row r="147" spans="1:5" x14ac:dyDescent="0.25">
      <c r="A147" s="24"/>
      <c r="B147" s="22" t="str">
        <f>_xlfn.IFNA(IF($A147&lt;&gt;"",VLOOKUP($A147,Protocolos!$A$6:$G$9992,2,FALSE),""),"Não localizado")</f>
        <v/>
      </c>
      <c r="C147" s="23" t="str">
        <f>_xlfn.IFNA(IF($A147&lt;&gt;"",VLOOKUP($A147,Protocolos!$A$6:$G$9992,7,FALSE),""),"Não localizado")</f>
        <v/>
      </c>
      <c r="D147" s="23" t="str">
        <f>_xlfn.IFNA(IF($A147&lt;&gt;"",VLOOKUP($A147,Protocolos!$A$6:$G$9992,6,FALSE),""),"Não localizado")</f>
        <v/>
      </c>
      <c r="E147" s="50"/>
    </row>
    <row r="148" spans="1:5" x14ac:dyDescent="0.25">
      <c r="A148" s="24"/>
      <c r="B148" s="22" t="str">
        <f>_xlfn.IFNA(IF($A148&lt;&gt;"",VLOOKUP($A148,Protocolos!$A$6:$G$9992,2,FALSE),""),"Não localizado")</f>
        <v/>
      </c>
      <c r="C148" s="23" t="str">
        <f>_xlfn.IFNA(IF($A148&lt;&gt;"",VLOOKUP($A148,Protocolos!$A$6:$G$9992,7,FALSE),""),"Não localizado")</f>
        <v/>
      </c>
      <c r="D148" s="23" t="str">
        <f>_xlfn.IFNA(IF($A148&lt;&gt;"",VLOOKUP($A148,Protocolos!$A$6:$G$9992,6,FALSE),""),"Não localizado")</f>
        <v/>
      </c>
      <c r="E148" s="50"/>
    </row>
    <row r="149" spans="1:5" x14ac:dyDescent="0.25">
      <c r="A149" s="24"/>
      <c r="B149" s="22" t="str">
        <f>_xlfn.IFNA(IF($A149&lt;&gt;"",VLOOKUP($A149,Protocolos!$A$6:$G$9992,2,FALSE),""),"Não localizado")</f>
        <v/>
      </c>
      <c r="C149" s="23" t="str">
        <f>_xlfn.IFNA(IF($A149&lt;&gt;"",VLOOKUP($A149,Protocolos!$A$6:$G$9992,7,FALSE),""),"Não localizado")</f>
        <v/>
      </c>
      <c r="D149" s="23" t="str">
        <f>_xlfn.IFNA(IF($A149&lt;&gt;"",VLOOKUP($A149,Protocolos!$A$6:$G$9992,6,FALSE),""),"Não localizado")</f>
        <v/>
      </c>
      <c r="E149" s="50"/>
    </row>
    <row r="150" spans="1:5" x14ac:dyDescent="0.25">
      <c r="A150" s="24"/>
      <c r="B150" s="22" t="str">
        <f>_xlfn.IFNA(IF($A150&lt;&gt;"",VLOOKUP($A150,Protocolos!$A$6:$G$9992,2,FALSE),""),"Não localizado")</f>
        <v/>
      </c>
      <c r="C150" s="23" t="str">
        <f>_xlfn.IFNA(IF($A150&lt;&gt;"",VLOOKUP($A150,Protocolos!$A$6:$G$9992,7,FALSE),""),"Não localizado")</f>
        <v/>
      </c>
      <c r="D150" s="23" t="str">
        <f>_xlfn.IFNA(IF($A150&lt;&gt;"",VLOOKUP($A150,Protocolos!$A$6:$G$9992,6,FALSE),""),"Não localizado")</f>
        <v/>
      </c>
      <c r="E150" s="50"/>
    </row>
    <row r="151" spans="1:5" x14ac:dyDescent="0.25">
      <c r="A151" s="24"/>
      <c r="B151" s="22" t="str">
        <f>_xlfn.IFNA(IF($A151&lt;&gt;"",VLOOKUP($A151,Protocolos!$A$6:$G$9992,2,FALSE),""),"Não localizado")</f>
        <v/>
      </c>
      <c r="C151" s="23" t="str">
        <f>_xlfn.IFNA(IF($A151&lt;&gt;"",VLOOKUP($A151,Protocolos!$A$6:$G$9992,7,FALSE),""),"Não localizado")</f>
        <v/>
      </c>
      <c r="D151" s="23" t="str">
        <f>_xlfn.IFNA(IF($A151&lt;&gt;"",VLOOKUP($A151,Protocolos!$A$6:$G$9992,6,FALSE),""),"Não localizado")</f>
        <v/>
      </c>
      <c r="E151" s="50"/>
    </row>
    <row r="152" spans="1:5" x14ac:dyDescent="0.25">
      <c r="A152" s="24"/>
      <c r="B152" s="22" t="str">
        <f>_xlfn.IFNA(IF($A152&lt;&gt;"",VLOOKUP($A152,Protocolos!$A$6:$G$9992,2,FALSE),""),"Não localizado")</f>
        <v/>
      </c>
      <c r="C152" s="23" t="str">
        <f>_xlfn.IFNA(IF($A152&lt;&gt;"",VLOOKUP($A152,Protocolos!$A$6:$G$9992,7,FALSE),""),"Não localizado")</f>
        <v/>
      </c>
      <c r="D152" s="23" t="str">
        <f>_xlfn.IFNA(IF($A152&lt;&gt;"",VLOOKUP($A152,Protocolos!$A$6:$G$9992,6,FALSE),""),"Não localizado")</f>
        <v/>
      </c>
      <c r="E152" s="50"/>
    </row>
    <row r="153" spans="1:5" x14ac:dyDescent="0.25">
      <c r="A153" s="24"/>
      <c r="B153" s="22" t="str">
        <f>_xlfn.IFNA(IF($A153&lt;&gt;"",VLOOKUP($A153,Protocolos!$A$6:$G$9992,2,FALSE),""),"Não localizado")</f>
        <v/>
      </c>
      <c r="C153" s="23" t="str">
        <f>_xlfn.IFNA(IF($A153&lt;&gt;"",VLOOKUP($A153,Protocolos!$A$6:$G$9992,7,FALSE),""),"Não localizado")</f>
        <v/>
      </c>
      <c r="D153" s="23" t="str">
        <f>_xlfn.IFNA(IF($A153&lt;&gt;"",VLOOKUP($A153,Protocolos!$A$6:$G$9992,6,FALSE),""),"Não localizado")</f>
        <v/>
      </c>
      <c r="E153" s="50"/>
    </row>
    <row r="154" spans="1:5" x14ac:dyDescent="0.25">
      <c r="A154" s="24"/>
      <c r="B154" s="22" t="str">
        <f>_xlfn.IFNA(IF($A154&lt;&gt;"",VLOOKUP($A154,Protocolos!$A$6:$G$9992,2,FALSE),""),"Não localizado")</f>
        <v/>
      </c>
      <c r="C154" s="23" t="str">
        <f>_xlfn.IFNA(IF($A154&lt;&gt;"",VLOOKUP($A154,Protocolos!$A$6:$G$9992,7,FALSE),""),"Não localizado")</f>
        <v/>
      </c>
      <c r="D154" s="23" t="str">
        <f>_xlfn.IFNA(IF($A154&lt;&gt;"",VLOOKUP($A154,Protocolos!$A$6:$G$9992,6,FALSE),""),"Não localizado")</f>
        <v/>
      </c>
      <c r="E154" s="50"/>
    </row>
    <row r="155" spans="1:5" x14ac:dyDescent="0.25">
      <c r="A155" s="24"/>
      <c r="B155" s="22" t="str">
        <f>_xlfn.IFNA(IF($A155&lt;&gt;"",VLOOKUP($A155,Protocolos!$A$6:$G$9992,2,FALSE),""),"Não localizado")</f>
        <v/>
      </c>
      <c r="C155" s="23" t="str">
        <f>_xlfn.IFNA(IF($A155&lt;&gt;"",VLOOKUP($A155,Protocolos!$A$6:$G$9992,7,FALSE),""),"Não localizado")</f>
        <v/>
      </c>
      <c r="D155" s="23" t="str">
        <f>_xlfn.IFNA(IF($A155&lt;&gt;"",VLOOKUP($A155,Protocolos!$A$6:$G$9992,6,FALSE),""),"Não localizado")</f>
        <v/>
      </c>
      <c r="E155" s="50"/>
    </row>
    <row r="156" spans="1:5" x14ac:dyDescent="0.25">
      <c r="A156" s="24"/>
      <c r="B156" s="22" t="str">
        <f>_xlfn.IFNA(IF($A156&lt;&gt;"",VLOOKUP($A156,Protocolos!$A$6:$G$9992,2,FALSE),""),"Não localizado")</f>
        <v/>
      </c>
      <c r="C156" s="23" t="str">
        <f>_xlfn.IFNA(IF($A156&lt;&gt;"",VLOOKUP($A156,Protocolos!$A$6:$G$9992,7,FALSE),""),"Não localizado")</f>
        <v/>
      </c>
      <c r="D156" s="23" t="str">
        <f>_xlfn.IFNA(IF($A156&lt;&gt;"",VLOOKUP($A156,Protocolos!$A$6:$G$9992,6,FALSE),""),"Não localizado")</f>
        <v/>
      </c>
      <c r="E156" s="50"/>
    </row>
    <row r="157" spans="1:5" x14ac:dyDescent="0.25">
      <c r="A157" s="24"/>
      <c r="B157" s="22" t="str">
        <f>_xlfn.IFNA(IF($A157&lt;&gt;"",VLOOKUP($A157,Protocolos!$A$6:$G$9992,2,FALSE),""),"Não localizado")</f>
        <v/>
      </c>
      <c r="C157" s="23" t="str">
        <f>_xlfn.IFNA(IF($A157&lt;&gt;"",VLOOKUP($A157,Protocolos!$A$6:$G$9992,7,FALSE),""),"Não localizado")</f>
        <v/>
      </c>
      <c r="D157" s="23" t="str">
        <f>_xlfn.IFNA(IF($A157&lt;&gt;"",VLOOKUP($A157,Protocolos!$A$6:$G$9992,6,FALSE),""),"Não localizado")</f>
        <v/>
      </c>
      <c r="E157" s="50"/>
    </row>
    <row r="158" spans="1:5" x14ac:dyDescent="0.25">
      <c r="A158" s="24"/>
      <c r="B158" s="22" t="str">
        <f>_xlfn.IFNA(IF($A158&lt;&gt;"",VLOOKUP($A158,Protocolos!$A$6:$G$9992,2,FALSE),""),"Não localizado")</f>
        <v/>
      </c>
      <c r="C158" s="23" t="str">
        <f>_xlfn.IFNA(IF($A158&lt;&gt;"",VLOOKUP($A158,Protocolos!$A$6:$G$9992,7,FALSE),""),"Não localizado")</f>
        <v/>
      </c>
      <c r="D158" s="23" t="str">
        <f>_xlfn.IFNA(IF($A158&lt;&gt;"",VLOOKUP($A158,Protocolos!$A$6:$G$9992,6,FALSE),""),"Não localizado")</f>
        <v/>
      </c>
      <c r="E158" s="50"/>
    </row>
    <row r="159" spans="1:5" x14ac:dyDescent="0.25">
      <c r="A159" s="24"/>
      <c r="B159" s="22" t="str">
        <f>_xlfn.IFNA(IF($A159&lt;&gt;"",VLOOKUP($A159,Protocolos!$A$6:$G$9992,2,FALSE),""),"Não localizado")</f>
        <v/>
      </c>
      <c r="C159" s="23" t="str">
        <f>_xlfn.IFNA(IF($A159&lt;&gt;"",VLOOKUP($A159,Protocolos!$A$6:$G$9992,7,FALSE),""),"Não localizado")</f>
        <v/>
      </c>
      <c r="D159" s="23" t="str">
        <f>_xlfn.IFNA(IF($A159&lt;&gt;"",VLOOKUP($A159,Protocolos!$A$6:$G$9992,6,FALSE),""),"Não localizado")</f>
        <v/>
      </c>
      <c r="E159" s="50"/>
    </row>
    <row r="160" spans="1:5" x14ac:dyDescent="0.25">
      <c r="A160" s="24"/>
      <c r="B160" s="22" t="str">
        <f>_xlfn.IFNA(IF($A160&lt;&gt;"",VLOOKUP($A160,Protocolos!$A$6:$G$9992,2,FALSE),""),"Não localizado")</f>
        <v/>
      </c>
      <c r="C160" s="23" t="str">
        <f>_xlfn.IFNA(IF($A160&lt;&gt;"",VLOOKUP($A160,Protocolos!$A$6:$G$9992,7,FALSE),""),"Não localizado")</f>
        <v/>
      </c>
      <c r="D160" s="23" t="str">
        <f>_xlfn.IFNA(IF($A160&lt;&gt;"",VLOOKUP($A160,Protocolos!$A$6:$G$9992,6,FALSE),""),"Não localizado")</f>
        <v/>
      </c>
      <c r="E160" s="50"/>
    </row>
    <row r="161" spans="1:5" x14ac:dyDescent="0.25">
      <c r="A161" s="24"/>
      <c r="B161" s="22" t="str">
        <f>_xlfn.IFNA(IF($A161&lt;&gt;"",VLOOKUP($A161,Protocolos!$A$6:$G$9992,2,FALSE),""),"Não localizado")</f>
        <v/>
      </c>
      <c r="C161" s="23" t="str">
        <f>_xlfn.IFNA(IF($A161&lt;&gt;"",VLOOKUP($A161,Protocolos!$A$6:$G$9992,7,FALSE),""),"Não localizado")</f>
        <v/>
      </c>
      <c r="D161" s="23" t="str">
        <f>_xlfn.IFNA(IF($A161&lt;&gt;"",VLOOKUP($A161,Protocolos!$A$6:$G$9992,6,FALSE),""),"Não localizado")</f>
        <v/>
      </c>
      <c r="E161" s="50"/>
    </row>
    <row r="162" spans="1:5" x14ac:dyDescent="0.25">
      <c r="A162" s="24"/>
      <c r="B162" s="22" t="str">
        <f>_xlfn.IFNA(IF($A162&lt;&gt;"",VLOOKUP($A162,Protocolos!$A$6:$G$9992,2,FALSE),""),"Não localizado")</f>
        <v/>
      </c>
      <c r="C162" s="23" t="str">
        <f>_xlfn.IFNA(IF($A162&lt;&gt;"",VLOOKUP($A162,Protocolos!$A$6:$G$9992,7,FALSE),""),"Não localizado")</f>
        <v/>
      </c>
      <c r="D162" s="23" t="str">
        <f>_xlfn.IFNA(IF($A162&lt;&gt;"",VLOOKUP($A162,Protocolos!$A$6:$G$9992,6,FALSE),""),"Não localizado")</f>
        <v/>
      </c>
      <c r="E162" s="50"/>
    </row>
    <row r="163" spans="1:5" x14ac:dyDescent="0.25">
      <c r="A163" s="24"/>
      <c r="B163" s="22" t="str">
        <f>_xlfn.IFNA(IF($A163&lt;&gt;"",VLOOKUP($A163,Protocolos!$A$6:$G$9992,2,FALSE),""),"Não localizado")</f>
        <v/>
      </c>
      <c r="C163" s="23" t="str">
        <f>_xlfn.IFNA(IF($A163&lt;&gt;"",VLOOKUP($A163,Protocolos!$A$6:$G$9992,7,FALSE),""),"Não localizado")</f>
        <v/>
      </c>
      <c r="D163" s="23" t="str">
        <f>_xlfn.IFNA(IF($A163&lt;&gt;"",VLOOKUP($A163,Protocolos!$A$6:$G$9992,6,FALSE),""),"Não localizado")</f>
        <v/>
      </c>
      <c r="E163" s="50"/>
    </row>
    <row r="164" spans="1:5" x14ac:dyDescent="0.25">
      <c r="A164" s="24"/>
      <c r="B164" s="22" t="str">
        <f>_xlfn.IFNA(IF($A164&lt;&gt;"",VLOOKUP($A164,Protocolos!$A$6:$G$9992,2,FALSE),""),"Não localizado")</f>
        <v/>
      </c>
      <c r="C164" s="23" t="str">
        <f>_xlfn.IFNA(IF($A164&lt;&gt;"",VLOOKUP($A164,Protocolos!$A$6:$G$9992,7,FALSE),""),"Não localizado")</f>
        <v/>
      </c>
      <c r="D164" s="23" t="str">
        <f>_xlfn.IFNA(IF($A164&lt;&gt;"",VLOOKUP($A164,Protocolos!$A$6:$G$9992,6,FALSE),""),"Não localizado")</f>
        <v/>
      </c>
      <c r="E164" s="50"/>
    </row>
    <row r="165" spans="1:5" x14ac:dyDescent="0.25">
      <c r="A165" s="24"/>
      <c r="B165" s="22" t="str">
        <f>_xlfn.IFNA(IF($A165&lt;&gt;"",VLOOKUP($A165,Protocolos!$A$6:$G$9992,2,FALSE),""),"Não localizado")</f>
        <v/>
      </c>
      <c r="C165" s="23" t="str">
        <f>_xlfn.IFNA(IF($A165&lt;&gt;"",VLOOKUP($A165,Protocolos!$A$6:$G$9992,7,FALSE),""),"Não localizado")</f>
        <v/>
      </c>
      <c r="D165" s="23" t="str">
        <f>_xlfn.IFNA(IF($A165&lt;&gt;"",VLOOKUP($A165,Protocolos!$A$6:$G$9992,6,FALSE),""),"Não localizado")</f>
        <v/>
      </c>
      <c r="E165" s="50"/>
    </row>
    <row r="166" spans="1:5" x14ac:dyDescent="0.25">
      <c r="A166" s="24"/>
      <c r="B166" s="22" t="str">
        <f>_xlfn.IFNA(IF($A166&lt;&gt;"",VLOOKUP($A166,Protocolos!$A$6:$G$9992,2,FALSE),""),"Não localizado")</f>
        <v/>
      </c>
      <c r="C166" s="23" t="str">
        <f>_xlfn.IFNA(IF($A166&lt;&gt;"",VLOOKUP($A166,Protocolos!$A$6:$G$9992,7,FALSE),""),"Não localizado")</f>
        <v/>
      </c>
      <c r="D166" s="23" t="str">
        <f>_xlfn.IFNA(IF($A166&lt;&gt;"",VLOOKUP($A166,Protocolos!$A$6:$G$9992,6,FALSE),""),"Não localizado")</f>
        <v/>
      </c>
      <c r="E166" s="50"/>
    </row>
    <row r="167" spans="1:5" x14ac:dyDescent="0.25">
      <c r="A167" s="24"/>
      <c r="B167" s="22" t="str">
        <f>_xlfn.IFNA(IF($A167&lt;&gt;"",VLOOKUP($A167,Protocolos!$A$6:$G$9992,2,FALSE),""),"Não localizado")</f>
        <v/>
      </c>
      <c r="C167" s="23" t="str">
        <f>_xlfn.IFNA(IF($A167&lt;&gt;"",VLOOKUP($A167,Protocolos!$A$6:$G$9992,7,FALSE),""),"Não localizado")</f>
        <v/>
      </c>
      <c r="D167" s="23" t="str">
        <f>_xlfn.IFNA(IF($A167&lt;&gt;"",VLOOKUP($A167,Protocolos!$A$6:$G$9992,6,FALSE),""),"Não localizado")</f>
        <v/>
      </c>
      <c r="E167" s="50"/>
    </row>
    <row r="168" spans="1:5" x14ac:dyDescent="0.25">
      <c r="A168" s="24"/>
      <c r="B168" s="22" t="str">
        <f>_xlfn.IFNA(IF($A168&lt;&gt;"",VLOOKUP($A168,Protocolos!$A$6:$G$9992,2,FALSE),""),"Não localizado")</f>
        <v/>
      </c>
      <c r="C168" s="23" t="str">
        <f>_xlfn.IFNA(IF($A168&lt;&gt;"",VLOOKUP($A168,Protocolos!$A$6:$G$9992,7,FALSE),""),"Não localizado")</f>
        <v/>
      </c>
      <c r="D168" s="23" t="str">
        <f>_xlfn.IFNA(IF($A168&lt;&gt;"",VLOOKUP($A168,Protocolos!$A$6:$G$9992,6,FALSE),""),"Não localizado")</f>
        <v/>
      </c>
      <c r="E168" s="50"/>
    </row>
    <row r="169" spans="1:5" x14ac:dyDescent="0.25">
      <c r="A169" s="24"/>
      <c r="B169" s="22" t="str">
        <f>_xlfn.IFNA(IF($A169&lt;&gt;"",VLOOKUP($A169,Protocolos!$A$6:$G$9992,2,FALSE),""),"Não localizado")</f>
        <v/>
      </c>
      <c r="C169" s="23" t="str">
        <f>_xlfn.IFNA(IF($A169&lt;&gt;"",VLOOKUP($A169,Protocolos!$A$6:$G$9992,7,FALSE),""),"Não localizado")</f>
        <v/>
      </c>
      <c r="D169" s="23" t="str">
        <f>_xlfn.IFNA(IF($A169&lt;&gt;"",VLOOKUP($A169,Protocolos!$A$6:$G$9992,6,FALSE),""),"Não localizado")</f>
        <v/>
      </c>
      <c r="E169" s="50"/>
    </row>
    <row r="170" spans="1:5" x14ac:dyDescent="0.25">
      <c r="A170" s="24"/>
      <c r="B170" s="22" t="str">
        <f>_xlfn.IFNA(IF($A170&lt;&gt;"",VLOOKUP($A170,Protocolos!$A$6:$G$9992,2,FALSE),""),"Não localizado")</f>
        <v/>
      </c>
      <c r="C170" s="23" t="str">
        <f>_xlfn.IFNA(IF($A170&lt;&gt;"",VLOOKUP($A170,Protocolos!$A$6:$G$9992,7,FALSE),""),"Não localizado")</f>
        <v/>
      </c>
      <c r="D170" s="23" t="str">
        <f>_xlfn.IFNA(IF($A170&lt;&gt;"",VLOOKUP($A170,Protocolos!$A$6:$G$9992,6,FALSE),""),"Não localizado")</f>
        <v/>
      </c>
      <c r="E170" s="50"/>
    </row>
    <row r="171" spans="1:5" x14ac:dyDescent="0.25">
      <c r="A171" s="24"/>
      <c r="B171" s="22" t="str">
        <f>_xlfn.IFNA(IF($A171&lt;&gt;"",VLOOKUP($A171,Protocolos!$A$6:$G$9992,2,FALSE),""),"Não localizado")</f>
        <v/>
      </c>
      <c r="C171" s="23" t="str">
        <f>_xlfn.IFNA(IF($A171&lt;&gt;"",VLOOKUP($A171,Protocolos!$A$6:$G$9992,7,FALSE),""),"Não localizado")</f>
        <v/>
      </c>
      <c r="D171" s="23" t="str">
        <f>_xlfn.IFNA(IF($A171&lt;&gt;"",VLOOKUP($A171,Protocolos!$A$6:$G$9992,6,FALSE),""),"Não localizado")</f>
        <v/>
      </c>
      <c r="E171" s="50"/>
    </row>
    <row r="172" spans="1:5" x14ac:dyDescent="0.25">
      <c r="A172" s="24"/>
      <c r="B172" s="22" t="str">
        <f>_xlfn.IFNA(IF($A172&lt;&gt;"",VLOOKUP($A172,Protocolos!$A$6:$G$9992,2,FALSE),""),"Não localizado")</f>
        <v/>
      </c>
      <c r="C172" s="23" t="str">
        <f>_xlfn.IFNA(IF($A172&lt;&gt;"",VLOOKUP($A172,Protocolos!$A$6:$G$9992,7,FALSE),""),"Não localizado")</f>
        <v/>
      </c>
      <c r="D172" s="23" t="str">
        <f>_xlfn.IFNA(IF($A172&lt;&gt;"",VLOOKUP($A172,Protocolos!$A$6:$G$9992,6,FALSE),""),"Não localizado")</f>
        <v/>
      </c>
      <c r="E172" s="50"/>
    </row>
    <row r="173" spans="1:5" x14ac:dyDescent="0.25">
      <c r="A173" s="24"/>
      <c r="B173" s="22" t="str">
        <f>_xlfn.IFNA(IF($A173&lt;&gt;"",VLOOKUP($A173,Protocolos!$A$6:$G$9992,2,FALSE),""),"Não localizado")</f>
        <v/>
      </c>
      <c r="C173" s="23" t="str">
        <f>_xlfn.IFNA(IF($A173&lt;&gt;"",VLOOKUP($A173,Protocolos!$A$6:$G$9992,7,FALSE),""),"Não localizado")</f>
        <v/>
      </c>
      <c r="D173" s="23" t="str">
        <f>_xlfn.IFNA(IF($A173&lt;&gt;"",VLOOKUP($A173,Protocolos!$A$6:$G$9992,6,FALSE),""),"Não localizado")</f>
        <v/>
      </c>
      <c r="E173" s="50"/>
    </row>
    <row r="174" spans="1:5" x14ac:dyDescent="0.25">
      <c r="A174" s="24"/>
      <c r="B174" s="22" t="str">
        <f>_xlfn.IFNA(IF($A174&lt;&gt;"",VLOOKUP($A174,Protocolos!$A$6:$G$9992,2,FALSE),""),"Não localizado")</f>
        <v/>
      </c>
      <c r="C174" s="23" t="str">
        <f>_xlfn.IFNA(IF($A174&lt;&gt;"",VLOOKUP($A174,Protocolos!$A$6:$G$9992,7,FALSE),""),"Não localizado")</f>
        <v/>
      </c>
      <c r="D174" s="23" t="str">
        <f>_xlfn.IFNA(IF($A174&lt;&gt;"",VLOOKUP($A174,Protocolos!$A$6:$G$9992,6,FALSE),""),"Não localizado")</f>
        <v/>
      </c>
      <c r="E174" s="50"/>
    </row>
    <row r="175" spans="1:5" x14ac:dyDescent="0.25">
      <c r="A175" s="24"/>
      <c r="B175" s="22" t="str">
        <f>_xlfn.IFNA(IF($A175&lt;&gt;"",VLOOKUP($A175,Protocolos!$A$6:$G$9992,2,FALSE),""),"Não localizado")</f>
        <v/>
      </c>
      <c r="C175" s="23" t="str">
        <f>_xlfn.IFNA(IF($A175&lt;&gt;"",VLOOKUP($A175,Protocolos!$A$6:$G$9992,7,FALSE),""),"Não localizado")</f>
        <v/>
      </c>
      <c r="D175" s="23" t="str">
        <f>_xlfn.IFNA(IF($A175&lt;&gt;"",VLOOKUP($A175,Protocolos!$A$6:$G$9992,6,FALSE),""),"Não localizado")</f>
        <v/>
      </c>
      <c r="E175" s="50"/>
    </row>
    <row r="176" spans="1:5" x14ac:dyDescent="0.25">
      <c r="A176" s="24"/>
      <c r="B176" s="22" t="str">
        <f>_xlfn.IFNA(IF($A176&lt;&gt;"",VLOOKUP($A176,Protocolos!$A$6:$G$9992,2,FALSE),""),"Não localizado")</f>
        <v/>
      </c>
      <c r="C176" s="23" t="str">
        <f>_xlfn.IFNA(IF($A176&lt;&gt;"",VLOOKUP($A176,Protocolos!$A$6:$G$9992,7,FALSE),""),"Não localizado")</f>
        <v/>
      </c>
      <c r="D176" s="23" t="str">
        <f>_xlfn.IFNA(IF($A176&lt;&gt;"",VLOOKUP($A176,Protocolos!$A$6:$G$9992,6,FALSE),""),"Não localizado")</f>
        <v/>
      </c>
      <c r="E176" s="50"/>
    </row>
    <row r="177" spans="1:6" x14ac:dyDescent="0.25">
      <c r="A177" s="24"/>
      <c r="B177" s="22" t="str">
        <f>_xlfn.IFNA(IF($A177&lt;&gt;"",VLOOKUP($A177,Protocolos!$A$6:$G$9992,2,FALSE),""),"Não localizado")</f>
        <v/>
      </c>
      <c r="C177" s="23" t="str">
        <f>_xlfn.IFNA(IF($A177&lt;&gt;"",VLOOKUP($A177,Protocolos!$A$6:$G$9992,7,FALSE),""),"Não localizado")</f>
        <v/>
      </c>
      <c r="D177" s="23" t="str">
        <f>_xlfn.IFNA(IF($A177&lt;&gt;"",VLOOKUP($A177,Protocolos!$A$6:$G$9992,6,FALSE),""),"Não localizado")</f>
        <v/>
      </c>
      <c r="E177" s="50"/>
    </row>
    <row r="178" spans="1:6" x14ac:dyDescent="0.25">
      <c r="A178" s="24"/>
      <c r="B178" s="22" t="str">
        <f>_xlfn.IFNA(IF($A178&lt;&gt;"",VLOOKUP($A178,Protocolos!$A$6:$G$9992,2,FALSE),""),"Não localizado")</f>
        <v/>
      </c>
      <c r="C178" s="23" t="str">
        <f>_xlfn.IFNA(IF($A178&lt;&gt;"",VLOOKUP($A178,Protocolos!$A$6:$G$9992,7,FALSE),""),"Não localizado")</f>
        <v/>
      </c>
      <c r="D178" s="23" t="str">
        <f>_xlfn.IFNA(IF($A178&lt;&gt;"",VLOOKUP($A178,Protocolos!$A$6:$G$9992,6,FALSE),""),"Não localizado")</f>
        <v/>
      </c>
      <c r="E178" s="50"/>
    </row>
    <row r="179" spans="1:6" x14ac:dyDescent="0.25">
      <c r="A179" s="24"/>
      <c r="B179" s="22" t="str">
        <f>_xlfn.IFNA(IF($A179&lt;&gt;"",VLOOKUP($A179,Protocolos!$A$6:$G$9992,2,FALSE),""),"Não localizado")</f>
        <v/>
      </c>
      <c r="C179" s="23" t="str">
        <f>_xlfn.IFNA(IF($A179&lt;&gt;"",VLOOKUP($A179,Protocolos!$A$6:$G$9992,7,FALSE),""),"Não localizado")</f>
        <v/>
      </c>
      <c r="D179" s="23" t="str">
        <f>_xlfn.IFNA(IF($A179&lt;&gt;"",VLOOKUP($A179,Protocolos!$A$6:$G$9992,6,FALSE),""),"Não localizado")</f>
        <v/>
      </c>
      <c r="E179" s="50"/>
    </row>
    <row r="180" spans="1:6" x14ac:dyDescent="0.25">
      <c r="A180" s="24"/>
      <c r="B180" s="22" t="str">
        <f>_xlfn.IFNA(IF($A180&lt;&gt;"",VLOOKUP($A180,Protocolos!$A$6:$G$9992,2,FALSE),""),"Não localizado")</f>
        <v/>
      </c>
      <c r="C180" s="23" t="str">
        <f>_xlfn.IFNA(IF($A180&lt;&gt;"",VLOOKUP($A180,Protocolos!$A$6:$G$9992,7,FALSE),""),"Não localizado")</f>
        <v/>
      </c>
      <c r="D180" s="23" t="str">
        <f>_xlfn.IFNA(IF($A180&lt;&gt;"",VLOOKUP($A180,Protocolos!$A$6:$G$9992,6,FALSE),""),"Não localizado")</f>
        <v/>
      </c>
      <c r="E180" s="50"/>
    </row>
    <row r="181" spans="1:6" x14ac:dyDescent="0.25">
      <c r="A181" s="24"/>
      <c r="B181" s="22" t="str">
        <f>_xlfn.IFNA(IF($A181&lt;&gt;"",VLOOKUP($A181,Protocolos!$A$6:$G$9992,2,FALSE),""),"Não localizado")</f>
        <v/>
      </c>
      <c r="C181" s="23" t="str">
        <f>_xlfn.IFNA(IF($A181&lt;&gt;"",VLOOKUP($A181,Protocolos!$A$6:$G$9992,7,FALSE),""),"Não localizado")</f>
        <v/>
      </c>
      <c r="D181" s="23" t="str">
        <f>_xlfn.IFNA(IF($A181&lt;&gt;"",VLOOKUP($A181,Protocolos!$A$6:$G$9992,6,FALSE),""),"Não localizado")</f>
        <v/>
      </c>
      <c r="E181" s="50"/>
    </row>
    <row r="182" spans="1:6" x14ac:dyDescent="0.25">
      <c r="A182" s="24"/>
      <c r="B182" s="22" t="str">
        <f>_xlfn.IFNA(IF($A182&lt;&gt;"",VLOOKUP($A182,Protocolos!$A$6:$G$9992,2,FALSE),""),"Não localizado")</f>
        <v/>
      </c>
      <c r="C182" s="23" t="str">
        <f>_xlfn.IFNA(IF($A182&lt;&gt;"",VLOOKUP($A182,Protocolos!$A$6:$G$9992,7,FALSE),""),"Não localizado")</f>
        <v/>
      </c>
      <c r="D182" s="23" t="str">
        <f>_xlfn.IFNA(IF($A182&lt;&gt;"",VLOOKUP($A182,Protocolos!$A$6:$G$9992,6,FALSE),""),"Não localizado")</f>
        <v/>
      </c>
      <c r="E182" s="50"/>
    </row>
    <row r="183" spans="1:6" x14ac:dyDescent="0.25">
      <c r="A183" s="24"/>
      <c r="B183" s="22" t="str">
        <f>_xlfn.IFNA(IF($A183&lt;&gt;"",VLOOKUP($A183,Protocolos!$A$6:$G$9992,2,FALSE),""),"Não localizado")</f>
        <v/>
      </c>
      <c r="C183" s="23" t="str">
        <f>_xlfn.IFNA(IF($A183&lt;&gt;"",VLOOKUP($A183,Protocolos!$A$6:$G$9992,7,FALSE),""),"Não localizado")</f>
        <v/>
      </c>
      <c r="D183" s="23" t="str">
        <f>_xlfn.IFNA(IF($A183&lt;&gt;"",VLOOKUP($A183,Protocolos!$A$6:$G$9992,6,FALSE),""),"Não localizado")</f>
        <v/>
      </c>
      <c r="E183" s="50"/>
    </row>
    <row r="184" spans="1:6" x14ac:dyDescent="0.25">
      <c r="A184" s="24"/>
      <c r="B184" s="22" t="str">
        <f>_xlfn.IFNA(IF($A184&lt;&gt;"",VLOOKUP($A184,Protocolos!$A$6:$G$9992,2,FALSE),""),"Não localizado")</f>
        <v/>
      </c>
      <c r="C184" s="23" t="str">
        <f>_xlfn.IFNA(IF($A184&lt;&gt;"",VLOOKUP($A184,Protocolos!$A$6:$G$9992,7,FALSE),""),"Não localizado")</f>
        <v/>
      </c>
      <c r="D184" s="23" t="str">
        <f>_xlfn.IFNA(IF($A184&lt;&gt;"",VLOOKUP($A184,Protocolos!$A$6:$G$9992,6,FALSE),""),"Não localizado")</f>
        <v/>
      </c>
      <c r="E184" s="50"/>
    </row>
    <row r="185" spans="1:6" x14ac:dyDescent="0.25">
      <c r="A185" s="24"/>
      <c r="B185" s="22" t="str">
        <f>_xlfn.IFNA(IF($A185&lt;&gt;"",VLOOKUP($A185,Protocolos!$A$6:$G$9992,2,FALSE),""),"Não localizado")</f>
        <v/>
      </c>
      <c r="C185" s="23" t="str">
        <f>_xlfn.IFNA(IF($A185&lt;&gt;"",VLOOKUP($A185,Protocolos!$A$6:$G$9992,7,FALSE),""),"Não localizado")</f>
        <v/>
      </c>
      <c r="D185" s="23" t="str">
        <f>_xlfn.IFNA(IF($A185&lt;&gt;"",VLOOKUP($A185,Protocolos!$A$6:$G$9992,6,FALSE),""),"Não localizado")</f>
        <v/>
      </c>
      <c r="E185" s="50"/>
    </row>
    <row r="186" spans="1:6" x14ac:dyDescent="0.25">
      <c r="A186" s="24"/>
      <c r="B186" s="22" t="str">
        <f>_xlfn.IFNA(IF($A186&lt;&gt;"",VLOOKUP($A186,Protocolos!$A$6:$G$9992,2,FALSE),""),"Não localizado")</f>
        <v/>
      </c>
      <c r="C186" s="23" t="str">
        <f>_xlfn.IFNA(IF($A186&lt;&gt;"",VLOOKUP($A186,Protocolos!$A$6:$G$9992,7,FALSE),""),"Não localizado")</f>
        <v/>
      </c>
      <c r="D186" s="23" t="str">
        <f>_xlfn.IFNA(IF($A186&lt;&gt;"",VLOOKUP($A186,Protocolos!$A$6:$G$9992,6,FALSE),""),"Não localizado")</f>
        <v/>
      </c>
      <c r="E186" s="50"/>
    </row>
    <row r="187" spans="1:6" x14ac:dyDescent="0.25">
      <c r="A187" s="24"/>
      <c r="B187" s="22" t="str">
        <f>_xlfn.IFNA(IF($A187&lt;&gt;"",VLOOKUP($A187,Protocolos!$A$6:$G$9992,2,FALSE),""),"Não localizado")</f>
        <v/>
      </c>
      <c r="C187" s="23" t="str">
        <f>_xlfn.IFNA(IF($A187&lt;&gt;"",VLOOKUP($A187,Protocolos!$A$6:$G$9992,7,FALSE),""),"Não localizado")</f>
        <v/>
      </c>
      <c r="D187" s="23" t="str">
        <f>_xlfn.IFNA(IF($A187&lt;&gt;"",VLOOKUP($A187,Protocolos!$A$6:$G$9992,6,FALSE),""),"Não localizado")</f>
        <v/>
      </c>
      <c r="E187" s="50"/>
    </row>
    <row r="188" spans="1:6" x14ac:dyDescent="0.25">
      <c r="A188" s="24"/>
      <c r="B188" s="22" t="str">
        <f>_xlfn.IFNA(IF($A188&lt;&gt;"",VLOOKUP($A188,Protocolos!$A$6:$G$9992,2,FALSE),""),"Não localizado")</f>
        <v/>
      </c>
      <c r="C188" s="23" t="str">
        <f>_xlfn.IFNA(IF($A188&lt;&gt;"",VLOOKUP($A188,Protocolos!$A$6:$G$9992,7,FALSE),""),"Não localizado")</f>
        <v/>
      </c>
      <c r="D188" s="23" t="str">
        <f>_xlfn.IFNA(IF($A188&lt;&gt;"",VLOOKUP($A188,Protocolos!$A$6:$G$9992,6,FALSE),""),"Não localizado")</f>
        <v/>
      </c>
      <c r="E188" s="50"/>
    </row>
    <row r="189" spans="1:6" x14ac:dyDescent="0.25">
      <c r="A189" s="24"/>
      <c r="B189" s="22" t="str">
        <f>_xlfn.IFNA(IF($A189&lt;&gt;"",VLOOKUP($A189,Protocolos!$A$6:$G$9992,2,FALSE),""),"Não localizado")</f>
        <v/>
      </c>
      <c r="C189" s="23" t="str">
        <f>_xlfn.IFNA(IF($A189&lt;&gt;"",VLOOKUP($A189,Protocolos!$A$6:$G$9992,7,FALSE),""),"Não localizado")</f>
        <v/>
      </c>
      <c r="D189" s="23" t="str">
        <f>_xlfn.IFNA(IF($A189&lt;&gt;"",VLOOKUP($A189,Protocolos!$A$6:$G$9992,6,FALSE),""),"Não localizado")</f>
        <v/>
      </c>
      <c r="E189" s="50"/>
    </row>
    <row r="190" spans="1:6" x14ac:dyDescent="0.25">
      <c r="A190" s="24"/>
      <c r="B190" s="22" t="str">
        <f>_xlfn.IFNA(IF($A190&lt;&gt;"",VLOOKUP($A190,Protocolos!$A$6:$G$9992,2,FALSE),""),"Não localizado")</f>
        <v/>
      </c>
      <c r="C190" s="23" t="str">
        <f>_xlfn.IFNA(IF($A190&lt;&gt;"",VLOOKUP($A190,Protocolos!$A$6:$G$9992,7,FALSE),""),"Não localizado")</f>
        <v/>
      </c>
      <c r="D190" s="23" t="str">
        <f>_xlfn.IFNA(IF($A190&lt;&gt;"",VLOOKUP($A190,Protocolos!$A$6:$G$9992,6,FALSE),""),"Não localizado")</f>
        <v/>
      </c>
      <c r="E190" s="50"/>
    </row>
    <row r="191" spans="1:6" x14ac:dyDescent="0.25">
      <c r="A191" s="24"/>
      <c r="B191" s="22" t="str">
        <f>_xlfn.IFNA(IF($A191&lt;&gt;"",VLOOKUP($A191,Protocolos!$A$6:$G$9992,2,FALSE),""),"Não localizado")</f>
        <v/>
      </c>
      <c r="C191" s="23" t="str">
        <f>_xlfn.IFNA(IF($A191&lt;&gt;"",VLOOKUP($A191,Protocolos!$A$6:$G$9992,7,FALSE),""),"Não localizado")</f>
        <v/>
      </c>
      <c r="D191" s="23" t="str">
        <f>_xlfn.IFNA(IF($A191&lt;&gt;"",VLOOKUP($A191,Protocolos!$A$6:$G$9992,6,FALSE),""),"Não localizado")</f>
        <v/>
      </c>
      <c r="E191" s="50"/>
    </row>
    <row r="192" spans="1:6" x14ac:dyDescent="0.25">
      <c r="A192" s="24"/>
      <c r="B192" s="22" t="str">
        <f>_xlfn.IFNA(IF($A192&lt;&gt;"",VLOOKUP($A192,Protocolos!$A$6:$G$9992,2,FALSE),""),"Não localizado")</f>
        <v/>
      </c>
      <c r="C192" s="23" t="str">
        <f>_xlfn.IFNA(IF($A192&lt;&gt;"",VLOOKUP($A192,Protocolos!$A$6:$G$9992,7,FALSE),""),"Não localizado")</f>
        <v/>
      </c>
      <c r="D192" s="23" t="str">
        <f>_xlfn.IFNA(IF($A192&lt;&gt;"",VLOOKUP($A192,Protocolos!$A$6:$G$9992,6,FALSE),""),"Não localizado")</f>
        <v/>
      </c>
      <c r="E192" s="50"/>
    </row>
    <row r="193" spans="1:5" x14ac:dyDescent="0.25">
      <c r="A193" s="24"/>
      <c r="B193" s="22" t="str">
        <f>_xlfn.IFNA(IF($A193&lt;&gt;"",VLOOKUP($A193,Protocolos!$A$6:$G$9992,2,FALSE),""),"Não localizado")</f>
        <v/>
      </c>
      <c r="C193" s="23" t="str">
        <f>_xlfn.IFNA(IF($A193&lt;&gt;"",VLOOKUP($A193,Protocolos!$A$6:$G$9992,7,FALSE),""),"Não localizado")</f>
        <v/>
      </c>
      <c r="D193" s="23" t="str">
        <f>_xlfn.IFNA(IF($A193&lt;&gt;"",VLOOKUP($A193,Protocolos!$A$6:$G$9992,6,FALSE),""),"Não localizado")</f>
        <v/>
      </c>
      <c r="E193" s="50"/>
    </row>
    <row r="194" spans="1:5" x14ac:dyDescent="0.25">
      <c r="A194" s="24"/>
      <c r="B194" s="22" t="str">
        <f>_xlfn.IFNA(IF($A194&lt;&gt;"",VLOOKUP($A194,Protocolos!$A$6:$G$9992,2,FALSE),""),"Não localizado")</f>
        <v/>
      </c>
      <c r="C194" s="23" t="str">
        <f>_xlfn.IFNA(IF($A194&lt;&gt;"",VLOOKUP($A194,Protocolos!$A$6:$G$9992,7,FALSE),""),"Não localizado")</f>
        <v/>
      </c>
      <c r="D194" s="23" t="str">
        <f>_xlfn.IFNA(IF($A194&lt;&gt;"",VLOOKUP($A194,Protocolos!$A$6:$G$9992,6,FALSE),""),"Não localizado")</f>
        <v/>
      </c>
      <c r="E194" s="50"/>
    </row>
    <row r="195" spans="1:5" x14ac:dyDescent="0.25">
      <c r="A195" s="24"/>
      <c r="B195" s="22" t="str">
        <f>_xlfn.IFNA(IF($A195&lt;&gt;"",VLOOKUP($A195,Protocolos!$A$6:$G$9992,2,FALSE),""),"Não localizado")</f>
        <v/>
      </c>
      <c r="C195" s="23" t="str">
        <f>_xlfn.IFNA(IF($A195&lt;&gt;"",VLOOKUP($A195,Protocolos!$A$6:$G$9992,7,FALSE),""),"Não localizado")</f>
        <v/>
      </c>
      <c r="D195" s="23" t="str">
        <f>_xlfn.IFNA(IF($A195&lt;&gt;"",VLOOKUP($A195,Protocolos!$A$6:$G$9992,6,FALSE),""),"Não localizado")</f>
        <v/>
      </c>
      <c r="E195" s="50"/>
    </row>
    <row r="196" spans="1:5" x14ac:dyDescent="0.25">
      <c r="A196" s="24"/>
      <c r="B196" s="22" t="str">
        <f>_xlfn.IFNA(IF($A196&lt;&gt;"",VLOOKUP($A196,Protocolos!$A$6:$G$9992,2,FALSE),""),"Não localizado")</f>
        <v/>
      </c>
      <c r="C196" s="23" t="str">
        <f>_xlfn.IFNA(IF($A196&lt;&gt;"",VLOOKUP($A196,Protocolos!$A$6:$G$9992,7,FALSE),""),"Não localizado")</f>
        <v/>
      </c>
      <c r="D196" s="23" t="str">
        <f>_xlfn.IFNA(IF($A196&lt;&gt;"",VLOOKUP($A196,Protocolos!$A$6:$G$9992,6,FALSE),""),"Não localizado")</f>
        <v/>
      </c>
      <c r="E196" s="50"/>
    </row>
    <row r="197" spans="1:5" x14ac:dyDescent="0.25">
      <c r="A197" s="24"/>
      <c r="B197" s="22" t="str">
        <f>_xlfn.IFNA(IF($A197&lt;&gt;"",VLOOKUP($A197,Protocolos!$A$6:$G$9992,2,FALSE),""),"Não localizado")</f>
        <v/>
      </c>
      <c r="C197" s="23" t="str">
        <f>_xlfn.IFNA(IF($A197&lt;&gt;"",VLOOKUP($A197,Protocolos!$A$6:$G$9992,7,FALSE),""),"Não localizado")</f>
        <v/>
      </c>
      <c r="D197" s="23" t="str">
        <f>_xlfn.IFNA(IF($A197&lt;&gt;"",VLOOKUP($A197,Protocolos!$A$6:$G$9992,6,FALSE),""),"Não localizado")</f>
        <v/>
      </c>
      <c r="E197" s="50"/>
    </row>
    <row r="198" spans="1:5" x14ac:dyDescent="0.25">
      <c r="A198" s="24"/>
      <c r="B198" s="22" t="str">
        <f>_xlfn.IFNA(IF($A198&lt;&gt;"",VLOOKUP($A198,Protocolos!$A$6:$G$9992,2,FALSE),""),"Não localizado")</f>
        <v/>
      </c>
      <c r="C198" s="23" t="str">
        <f>_xlfn.IFNA(IF($A198&lt;&gt;"",VLOOKUP($A198,Protocolos!$A$6:$G$9992,7,FALSE),""),"Não localizado")</f>
        <v/>
      </c>
      <c r="D198" s="23" t="str">
        <f>_xlfn.IFNA(IF($A198&lt;&gt;"",VLOOKUP($A198,Protocolos!$A$6:$G$9992,6,FALSE),""),"Não localizado")</f>
        <v/>
      </c>
      <c r="E198" s="50"/>
    </row>
    <row r="199" spans="1:5" x14ac:dyDescent="0.25">
      <c r="A199" s="24"/>
      <c r="B199" s="22" t="str">
        <f>_xlfn.IFNA(IF($A199&lt;&gt;"",VLOOKUP($A199,Protocolos!$A$6:$G$9992,2,FALSE),""),"Não localizado")</f>
        <v/>
      </c>
      <c r="C199" s="23" t="str">
        <f>_xlfn.IFNA(IF($A199&lt;&gt;"",VLOOKUP($A199,Protocolos!$A$6:$G$9992,7,FALSE),""),"Não localizado")</f>
        <v/>
      </c>
      <c r="D199" s="23" t="str">
        <f>_xlfn.IFNA(IF($A199&lt;&gt;"",VLOOKUP($A199,Protocolos!$A$6:$G$9992,6,FALSE),""),"Não localizado")</f>
        <v/>
      </c>
      <c r="E199" s="50"/>
    </row>
    <row r="200" spans="1:5" x14ac:dyDescent="0.25">
      <c r="A200" s="24"/>
      <c r="B200" s="22" t="str">
        <f>_xlfn.IFNA(IF($A200&lt;&gt;"",VLOOKUP($A200,Protocolos!$A$6:$G$9992,2,FALSE),""),"Não localizado")</f>
        <v/>
      </c>
      <c r="C200" s="23" t="str">
        <f>_xlfn.IFNA(IF($A200&lt;&gt;"",VLOOKUP($A200,Protocolos!$A$6:$G$9992,7,FALSE),""),"Não localizado")</f>
        <v/>
      </c>
      <c r="D200" s="23" t="str">
        <f>_xlfn.IFNA(IF($A200&lt;&gt;"",VLOOKUP($A200,Protocolos!$A$6:$G$9992,6,FALSE),""),"Não localizado")</f>
        <v/>
      </c>
      <c r="E200" s="50"/>
    </row>
    <row r="201" spans="1:5" x14ac:dyDescent="0.25">
      <c r="A201" s="24"/>
      <c r="B201" s="22" t="str">
        <f>_xlfn.IFNA(IF($A201&lt;&gt;"",VLOOKUP($A201,Protocolos!$A$6:$G$9992,2,FALSE),""),"Não localizado")</f>
        <v/>
      </c>
      <c r="C201" s="23" t="str">
        <f>_xlfn.IFNA(IF($A201&lt;&gt;"",VLOOKUP($A201,Protocolos!$A$6:$G$9992,7,FALSE),""),"Não localizado")</f>
        <v/>
      </c>
      <c r="D201" s="23" t="str">
        <f>_xlfn.IFNA(IF($A201&lt;&gt;"",VLOOKUP($A201,Protocolos!$A$6:$G$9992,6,FALSE),""),"Não localizado")</f>
        <v/>
      </c>
      <c r="E201" s="50"/>
    </row>
    <row r="202" spans="1:5" x14ac:dyDescent="0.25">
      <c r="A202" s="24"/>
      <c r="B202" s="22" t="str">
        <f>_xlfn.IFNA(IF($A202&lt;&gt;"",VLOOKUP($A202,Protocolos!$A$6:$G$9992,2,FALSE),""),"Não localizado")</f>
        <v/>
      </c>
      <c r="C202" s="23" t="str">
        <f>_xlfn.IFNA(IF($A202&lt;&gt;"",VLOOKUP($A202,Protocolos!$A$6:$G$9992,7,FALSE),""),"Não localizado")</f>
        <v/>
      </c>
      <c r="D202" s="23" t="str">
        <f>_xlfn.IFNA(IF($A202&lt;&gt;"",VLOOKUP($A202,Protocolos!$A$6:$G$9992,6,FALSE),""),"Não localizado")</f>
        <v/>
      </c>
      <c r="E202" s="50"/>
    </row>
    <row r="203" spans="1:5" x14ac:dyDescent="0.25">
      <c r="A203" s="24"/>
      <c r="B203" s="22" t="str">
        <f>_xlfn.IFNA(IF($A203&lt;&gt;"",VLOOKUP($A203,Protocolos!$A$6:$G$9992,2,FALSE),""),"Não localizado")</f>
        <v/>
      </c>
      <c r="C203" s="23" t="str">
        <f>_xlfn.IFNA(IF($A203&lt;&gt;"",VLOOKUP($A203,Protocolos!$A$6:$G$9992,7,FALSE),""),"Não localizado")</f>
        <v/>
      </c>
      <c r="D203" s="23" t="str">
        <f>_xlfn.IFNA(IF($A203&lt;&gt;"",VLOOKUP($A203,Protocolos!$A$6:$G$9992,6,FALSE),""),"Não localizado")</f>
        <v/>
      </c>
      <c r="E203" s="50"/>
    </row>
    <row r="204" spans="1:5" x14ac:dyDescent="0.25">
      <c r="A204" s="24"/>
      <c r="B204" s="22" t="str">
        <f>_xlfn.IFNA(IF($A204&lt;&gt;"",VLOOKUP($A204,Protocolos!$A$6:$G$9992,2,FALSE),""),"Não localizado")</f>
        <v/>
      </c>
      <c r="C204" s="23" t="str">
        <f>_xlfn.IFNA(IF($A204&lt;&gt;"",VLOOKUP($A204,Protocolos!$A$6:$G$9992,7,FALSE),""),"Não localizado")</f>
        <v/>
      </c>
      <c r="D204" s="23" t="str">
        <f>_xlfn.IFNA(IF($A204&lt;&gt;"",VLOOKUP($A204,Protocolos!$A$6:$G$9992,6,FALSE),""),"Não localizado")</f>
        <v/>
      </c>
      <c r="E204" s="50"/>
    </row>
    <row r="205" spans="1:5" x14ac:dyDescent="0.25">
      <c r="A205" s="24"/>
      <c r="B205" s="22" t="str">
        <f>_xlfn.IFNA(IF($A205&lt;&gt;"",VLOOKUP($A205,Protocolos!$A$6:$G$9992,2,FALSE),""),"Não localizado")</f>
        <v/>
      </c>
      <c r="C205" s="23" t="str">
        <f>_xlfn.IFNA(IF($A205&lt;&gt;"",VLOOKUP($A205,Protocolos!$A$6:$G$9992,7,FALSE),""),"Não localizado")</f>
        <v/>
      </c>
      <c r="D205" s="23" t="str">
        <f>_xlfn.IFNA(IF($A205&lt;&gt;"",VLOOKUP($A205,Protocolos!$A$6:$G$9992,6,FALSE),""),"Não localizado")</f>
        <v/>
      </c>
      <c r="E205" s="50"/>
    </row>
    <row r="206" spans="1:5" x14ac:dyDescent="0.25">
      <c r="A206" s="24"/>
      <c r="B206" s="22" t="str">
        <f>_xlfn.IFNA(IF($A206&lt;&gt;"",VLOOKUP($A206,Protocolos!$A$6:$G$9992,2,FALSE),""),"Não localizado")</f>
        <v/>
      </c>
      <c r="C206" s="23" t="str">
        <f>_xlfn.IFNA(IF($A206&lt;&gt;"",VLOOKUP($A206,Protocolos!$A$6:$G$9992,7,FALSE),""),"Não localizado")</f>
        <v/>
      </c>
      <c r="D206" s="23" t="str">
        <f>_xlfn.IFNA(IF($A206&lt;&gt;"",VLOOKUP($A206,Protocolos!$A$6:$G$9992,6,FALSE),""),"Não localizado")</f>
        <v/>
      </c>
      <c r="E206" s="50"/>
    </row>
    <row r="207" spans="1:5" x14ac:dyDescent="0.25">
      <c r="A207" s="24"/>
      <c r="B207" s="22" t="str">
        <f>_xlfn.IFNA(IF($A207&lt;&gt;"",VLOOKUP($A207,Protocolos!$A$6:$G$9992,2,FALSE),""),"Não localizado")</f>
        <v/>
      </c>
      <c r="C207" s="23" t="str">
        <f>_xlfn.IFNA(IF($A207&lt;&gt;"",VLOOKUP($A207,Protocolos!$A$6:$G$9992,7,FALSE),""),"Não localizado")</f>
        <v/>
      </c>
      <c r="D207" s="23" t="str">
        <f>_xlfn.IFNA(IF($A207&lt;&gt;"",VLOOKUP($A207,Protocolos!$A$6:$G$9992,6,FALSE),""),"Não localizado")</f>
        <v/>
      </c>
      <c r="E207" s="50"/>
    </row>
    <row r="208" spans="1:5" x14ac:dyDescent="0.25">
      <c r="A208" s="24"/>
      <c r="B208" s="22" t="str">
        <f>_xlfn.IFNA(IF($A208&lt;&gt;"",VLOOKUP($A208,Protocolos!$A$6:$G$9992,2,FALSE),""),"Não localizado")</f>
        <v/>
      </c>
      <c r="C208" s="23" t="str">
        <f>_xlfn.IFNA(IF($A208&lt;&gt;"",VLOOKUP($A208,Protocolos!$A$6:$G$9992,7,FALSE),""),"Não localizado")</f>
        <v/>
      </c>
      <c r="D208" s="23" t="str">
        <f>_xlfn.IFNA(IF($A208&lt;&gt;"",VLOOKUP($A208,Protocolos!$A$6:$G$9992,6,FALSE),""),"Não localizado")</f>
        <v/>
      </c>
      <c r="E208" s="50"/>
    </row>
    <row r="209" spans="1:5" x14ac:dyDescent="0.25">
      <c r="A209" s="24"/>
      <c r="B209" s="22" t="str">
        <f>_xlfn.IFNA(IF($A209&lt;&gt;"",VLOOKUP($A209,Protocolos!$A$6:$G$9992,2,FALSE),""),"Não localizado")</f>
        <v/>
      </c>
      <c r="C209" s="23" t="str">
        <f>_xlfn.IFNA(IF($A209&lt;&gt;"",VLOOKUP($A209,Protocolos!$A$6:$G$9992,7,FALSE),""),"Não localizado")</f>
        <v/>
      </c>
      <c r="D209" s="23" t="str">
        <f>_xlfn.IFNA(IF($A209&lt;&gt;"",VLOOKUP($A209,Protocolos!$A$6:$G$9992,6,FALSE),""),"Não localizado")</f>
        <v/>
      </c>
      <c r="E209" s="50"/>
    </row>
    <row r="210" spans="1:5" x14ac:dyDescent="0.25">
      <c r="A210" s="24"/>
      <c r="B210" s="22" t="str">
        <f>_xlfn.IFNA(IF($A210&lt;&gt;"",VLOOKUP($A210,Protocolos!$A$6:$G$9992,2,FALSE),""),"Não localizado")</f>
        <v/>
      </c>
      <c r="C210" s="23" t="str">
        <f>_xlfn.IFNA(IF($A210&lt;&gt;"",VLOOKUP($A210,Protocolos!$A$6:$G$9992,7,FALSE),""),"Não localizado")</f>
        <v/>
      </c>
      <c r="D210" s="23" t="str">
        <f>_xlfn.IFNA(IF($A210&lt;&gt;"",VLOOKUP($A210,Protocolos!$A$6:$G$9992,6,FALSE),""),"Não localizado")</f>
        <v/>
      </c>
      <c r="E210" s="50"/>
    </row>
    <row r="211" spans="1:5" x14ac:dyDescent="0.25">
      <c r="A211" s="24"/>
      <c r="B211" s="22" t="str">
        <f>_xlfn.IFNA(IF($A211&lt;&gt;"",VLOOKUP($A211,Protocolos!$A$6:$G$9992,2,FALSE),""),"Não localizado")</f>
        <v/>
      </c>
      <c r="C211" s="23" t="str">
        <f>_xlfn.IFNA(IF($A211&lt;&gt;"",VLOOKUP($A211,Protocolos!$A$6:$G$9992,7,FALSE),""),"Não localizado")</f>
        <v/>
      </c>
      <c r="D211" s="23" t="str">
        <f>_xlfn.IFNA(IF($A211&lt;&gt;"",VLOOKUP($A211,Protocolos!$A$6:$G$9992,6,FALSE),""),"Não localizado")</f>
        <v/>
      </c>
      <c r="E211" s="50"/>
    </row>
    <row r="212" spans="1:5" x14ac:dyDescent="0.25">
      <c r="A212" s="24"/>
      <c r="B212" s="22" t="str">
        <f>_xlfn.IFNA(IF($A212&lt;&gt;"",VLOOKUP($A212,Protocolos!$A$6:$G$9992,2,FALSE),""),"Não localizado")</f>
        <v/>
      </c>
      <c r="C212" s="23" t="str">
        <f>_xlfn.IFNA(IF($A212&lt;&gt;"",VLOOKUP($A212,Protocolos!$A$6:$G$9992,7,FALSE),""),"Não localizado")</f>
        <v/>
      </c>
      <c r="D212" s="23" t="str">
        <f>_xlfn.IFNA(IF($A212&lt;&gt;"",VLOOKUP($A212,Protocolos!$A$6:$G$9992,6,FALSE),""),"Não localizado")</f>
        <v/>
      </c>
      <c r="E212" s="50"/>
    </row>
    <row r="213" spans="1:5" x14ac:dyDescent="0.25">
      <c r="A213" s="24"/>
      <c r="B213" s="22" t="str">
        <f>_xlfn.IFNA(IF($A213&lt;&gt;"",VLOOKUP($A213,Protocolos!$A$6:$G$9992,2,FALSE),""),"Não localizado")</f>
        <v/>
      </c>
      <c r="C213" s="23" t="str">
        <f>_xlfn.IFNA(IF($A213&lt;&gt;"",VLOOKUP($A213,Protocolos!$A$6:$G$9992,7,FALSE),""),"Não localizado")</f>
        <v/>
      </c>
      <c r="D213" s="23" t="str">
        <f>_xlfn.IFNA(IF($A213&lt;&gt;"",VLOOKUP($A213,Protocolos!$A$6:$G$9992,6,FALSE),""),"Não localizado")</f>
        <v/>
      </c>
      <c r="E213" s="50"/>
    </row>
    <row r="214" spans="1:5" x14ac:dyDescent="0.25">
      <c r="A214" s="24"/>
      <c r="B214" s="22" t="str">
        <f>_xlfn.IFNA(IF($A214&lt;&gt;"",VLOOKUP($A214,Protocolos!$A$6:$G$9992,2,FALSE),""),"Não localizado")</f>
        <v/>
      </c>
      <c r="C214" s="23" t="str">
        <f>_xlfn.IFNA(IF($A214&lt;&gt;"",VLOOKUP($A214,Protocolos!$A$6:$G$9992,7,FALSE),""),"Não localizado")</f>
        <v/>
      </c>
      <c r="D214" s="23" t="str">
        <f>_xlfn.IFNA(IF($A214&lt;&gt;"",VLOOKUP($A214,Protocolos!$A$6:$G$9992,6,FALSE),""),"Não localizado")</f>
        <v/>
      </c>
      <c r="E214" s="50"/>
    </row>
    <row r="215" spans="1:5" x14ac:dyDescent="0.25">
      <c r="A215" s="24"/>
      <c r="B215" s="22" t="str">
        <f>_xlfn.IFNA(IF($A215&lt;&gt;"",VLOOKUP($A215,Protocolos!$A$6:$G$9992,2,FALSE),""),"Não localizado")</f>
        <v/>
      </c>
      <c r="C215" s="23" t="str">
        <f>_xlfn.IFNA(IF($A215&lt;&gt;"",VLOOKUP($A215,Protocolos!$A$6:$G$9992,7,FALSE),""),"Não localizado")</f>
        <v/>
      </c>
      <c r="D215" s="23" t="str">
        <f>_xlfn.IFNA(IF($A215&lt;&gt;"",VLOOKUP($A215,Protocolos!$A$6:$G$9992,6,FALSE),""),"Não localizado")</f>
        <v/>
      </c>
      <c r="E215" s="50"/>
    </row>
    <row r="216" spans="1:5" x14ac:dyDescent="0.25">
      <c r="A216" s="24"/>
      <c r="B216" s="22" t="str">
        <f>_xlfn.IFNA(IF($A216&lt;&gt;"",VLOOKUP($A216,Protocolos!$A$6:$G$9992,2,FALSE),""),"Não localizado")</f>
        <v/>
      </c>
      <c r="C216" s="23" t="str">
        <f>_xlfn.IFNA(IF($A216&lt;&gt;"",VLOOKUP($A216,Protocolos!$A$6:$G$9992,7,FALSE),""),"Não localizado")</f>
        <v/>
      </c>
      <c r="D216" s="23" t="str">
        <f>_xlfn.IFNA(IF($A216&lt;&gt;"",VLOOKUP($A216,Protocolos!$A$6:$G$9992,6,FALSE),""),"Não localizado")</f>
        <v/>
      </c>
      <c r="E216" s="50"/>
    </row>
    <row r="217" spans="1:5" x14ac:dyDescent="0.25">
      <c r="A217" s="24"/>
      <c r="B217" s="22" t="str">
        <f>_xlfn.IFNA(IF($A217&lt;&gt;"",VLOOKUP($A217,Protocolos!$A$6:$G$9992,2,FALSE),""),"Não localizado")</f>
        <v/>
      </c>
      <c r="C217" s="23" t="str">
        <f>_xlfn.IFNA(IF($A217&lt;&gt;"",VLOOKUP($A217,Protocolos!$A$6:$G$9992,7,FALSE),""),"Não localizado")</f>
        <v/>
      </c>
      <c r="D217" s="23" t="str">
        <f>_xlfn.IFNA(IF($A217&lt;&gt;"",VLOOKUP($A217,Protocolos!$A$6:$G$9992,6,FALSE),""),"Não localizado")</f>
        <v/>
      </c>
      <c r="E217" s="50"/>
    </row>
    <row r="218" spans="1:5" x14ac:dyDescent="0.25">
      <c r="A218" s="24"/>
      <c r="B218" s="22" t="str">
        <f>_xlfn.IFNA(IF($A218&lt;&gt;"",VLOOKUP($A218,Protocolos!$A$6:$G$9992,2,FALSE),""),"Não localizado")</f>
        <v/>
      </c>
      <c r="C218" s="23" t="str">
        <f>_xlfn.IFNA(IF($A218&lt;&gt;"",VLOOKUP($A218,Protocolos!$A$6:$G$9992,7,FALSE),""),"Não localizado")</f>
        <v/>
      </c>
      <c r="D218" s="23" t="str">
        <f>_xlfn.IFNA(IF($A218&lt;&gt;"",VLOOKUP($A218,Protocolos!$A$6:$G$9992,6,FALSE),""),"Não localizado")</f>
        <v/>
      </c>
      <c r="E218" s="50"/>
    </row>
    <row r="219" spans="1:5" x14ac:dyDescent="0.25">
      <c r="A219" s="24"/>
      <c r="B219" s="22" t="str">
        <f>_xlfn.IFNA(IF($A219&lt;&gt;"",VLOOKUP($A219,Protocolos!$A$6:$G$9992,2,FALSE),""),"Não localizado")</f>
        <v/>
      </c>
      <c r="C219" s="23" t="str">
        <f>_xlfn.IFNA(IF($A219&lt;&gt;"",VLOOKUP($A219,Protocolos!$A$6:$G$9992,7,FALSE),""),"Não localizado")</f>
        <v/>
      </c>
      <c r="D219" s="23" t="str">
        <f>_xlfn.IFNA(IF($A219&lt;&gt;"",VLOOKUP($A219,Protocolos!$A$6:$G$9992,6,FALSE),""),"Não localizado")</f>
        <v/>
      </c>
      <c r="E219" s="50"/>
    </row>
    <row r="220" spans="1:5" x14ac:dyDescent="0.25">
      <c r="A220" s="24"/>
      <c r="B220" s="22" t="str">
        <f>_xlfn.IFNA(IF($A220&lt;&gt;"",VLOOKUP($A220,Protocolos!$A$6:$G$9992,2,FALSE),""),"Não localizado")</f>
        <v/>
      </c>
      <c r="C220" s="23" t="str">
        <f>_xlfn.IFNA(IF($A220&lt;&gt;"",VLOOKUP($A220,Protocolos!$A$6:$G$9992,7,FALSE),""),"Não localizado")</f>
        <v/>
      </c>
      <c r="D220" s="23" t="str">
        <f>_xlfn.IFNA(IF($A220&lt;&gt;"",VLOOKUP($A220,Protocolos!$A$6:$G$9992,6,FALSE),""),"Não localizado")</f>
        <v/>
      </c>
      <c r="E220" s="50"/>
    </row>
    <row r="221" spans="1:5" x14ac:dyDescent="0.25">
      <c r="A221" s="24"/>
      <c r="B221" s="22" t="str">
        <f>_xlfn.IFNA(IF($A221&lt;&gt;"",VLOOKUP($A221,Protocolos!$A$6:$G$9992,2,FALSE),""),"Não localizado")</f>
        <v/>
      </c>
      <c r="C221" s="23" t="str">
        <f>_xlfn.IFNA(IF($A221&lt;&gt;"",VLOOKUP($A221,Protocolos!$A$6:$G$9992,7,FALSE),""),"Não localizado")</f>
        <v/>
      </c>
      <c r="D221" s="23" t="str">
        <f>_xlfn.IFNA(IF($A221&lt;&gt;"",VLOOKUP($A221,Protocolos!$A$6:$G$9992,6,FALSE),""),"Não localizado")</f>
        <v/>
      </c>
      <c r="E221" s="50"/>
    </row>
    <row r="222" spans="1:5" x14ac:dyDescent="0.25">
      <c r="A222" s="24"/>
      <c r="B222" s="22" t="str">
        <f>_xlfn.IFNA(IF($A222&lt;&gt;"",VLOOKUP($A222,Protocolos!$A$6:$G$9992,2,FALSE),""),"Não localizado")</f>
        <v/>
      </c>
      <c r="C222" s="23" t="str">
        <f>_xlfn.IFNA(IF($A222&lt;&gt;"",VLOOKUP($A222,Protocolos!$A$6:$G$9992,7,FALSE),""),"Não localizado")</f>
        <v/>
      </c>
      <c r="D222" s="23" t="str">
        <f>_xlfn.IFNA(IF($A222&lt;&gt;"",VLOOKUP($A222,Protocolos!$A$6:$G$9992,6,FALSE),""),"Não localizado")</f>
        <v/>
      </c>
      <c r="E222" s="50"/>
    </row>
    <row r="223" spans="1:5" x14ac:dyDescent="0.25">
      <c r="A223" s="24"/>
      <c r="B223" s="22" t="str">
        <f>_xlfn.IFNA(IF($A223&lt;&gt;"",VLOOKUP($A223,Protocolos!$A$6:$G$9992,2,FALSE),""),"Não localizado")</f>
        <v/>
      </c>
      <c r="C223" s="23" t="str">
        <f>_xlfn.IFNA(IF($A223&lt;&gt;"",VLOOKUP($A223,Protocolos!$A$6:$G$9992,7,FALSE),""),"Não localizado")</f>
        <v/>
      </c>
      <c r="D223" s="23" t="str">
        <f>_xlfn.IFNA(IF($A223&lt;&gt;"",VLOOKUP($A223,Protocolos!$A$6:$G$9992,6,FALSE),""),"Não localizado")</f>
        <v/>
      </c>
      <c r="E223" s="50"/>
    </row>
    <row r="224" spans="1:5" x14ac:dyDescent="0.25">
      <c r="A224" s="24"/>
      <c r="B224" s="22" t="str">
        <f>_xlfn.IFNA(IF($A224&lt;&gt;"",VLOOKUP($A224,Protocolos!$A$6:$G$9992,2,FALSE),""),"Não localizado")</f>
        <v/>
      </c>
      <c r="C224" s="23" t="str">
        <f>_xlfn.IFNA(IF($A224&lt;&gt;"",VLOOKUP($A224,Protocolos!$A$6:$G$9992,7,FALSE),""),"Não localizado")</f>
        <v/>
      </c>
      <c r="D224" s="23" t="str">
        <f>_xlfn.IFNA(IF($A224&lt;&gt;"",VLOOKUP($A224,Protocolos!$A$6:$G$9992,6,FALSE),""),"Não localizado")</f>
        <v/>
      </c>
      <c r="E224" s="50"/>
    </row>
    <row r="225" spans="1:5" x14ac:dyDescent="0.25">
      <c r="A225" s="24"/>
      <c r="B225" s="22" t="str">
        <f>_xlfn.IFNA(IF($A225&lt;&gt;"",VLOOKUP($A225,Protocolos!$A$6:$G$9992,2,FALSE),""),"Não localizado")</f>
        <v/>
      </c>
      <c r="C225" s="23" t="str">
        <f>_xlfn.IFNA(IF($A225&lt;&gt;"",VLOOKUP($A225,Protocolos!$A$6:$G$9992,7,FALSE),""),"Não localizado")</f>
        <v/>
      </c>
      <c r="D225" s="23" t="str">
        <f>_xlfn.IFNA(IF($A225&lt;&gt;"",VLOOKUP($A225,Protocolos!$A$6:$G$9992,6,FALSE),""),"Não localizado")</f>
        <v/>
      </c>
      <c r="E225" s="50"/>
    </row>
    <row r="226" spans="1:5" x14ac:dyDescent="0.25">
      <c r="A226" s="24"/>
      <c r="B226" s="22" t="str">
        <f>_xlfn.IFNA(IF($A226&lt;&gt;"",VLOOKUP($A226,Protocolos!$A$6:$G$9992,2,FALSE),""),"Não localizado")</f>
        <v/>
      </c>
      <c r="C226" s="23" t="str">
        <f>_xlfn.IFNA(IF($A226&lt;&gt;"",VLOOKUP($A226,Protocolos!$A$6:$G$9992,7,FALSE),""),"Não localizado")</f>
        <v/>
      </c>
      <c r="D226" s="23" t="str">
        <f>_xlfn.IFNA(IF($A226&lt;&gt;"",VLOOKUP($A226,Protocolos!$A$6:$G$9992,6,FALSE),""),"Não localizado")</f>
        <v/>
      </c>
      <c r="E226" s="50"/>
    </row>
    <row r="227" spans="1:5" x14ac:dyDescent="0.25">
      <c r="A227" s="24"/>
      <c r="B227" s="22" t="str">
        <f>_xlfn.IFNA(IF($A227&lt;&gt;"",VLOOKUP($A227,Protocolos!$A$6:$G$9992,2,FALSE),""),"Não localizado")</f>
        <v/>
      </c>
      <c r="C227" s="23" t="str">
        <f>_xlfn.IFNA(IF($A227&lt;&gt;"",VLOOKUP($A227,Protocolos!$A$6:$G$9992,7,FALSE),""),"Não localizado")</f>
        <v/>
      </c>
      <c r="D227" s="23" t="str">
        <f>_xlfn.IFNA(IF($A227&lt;&gt;"",VLOOKUP($A227,Protocolos!$A$6:$G$9992,6,FALSE),""),"Não localizado")</f>
        <v/>
      </c>
      <c r="E227" s="50"/>
    </row>
    <row r="228" spans="1:5" x14ac:dyDescent="0.25">
      <c r="A228" s="24"/>
      <c r="B228" s="22" t="str">
        <f>_xlfn.IFNA(IF($A228&lt;&gt;"",VLOOKUP($A228,Protocolos!$A$6:$G$9992,2,FALSE),""),"Não localizado")</f>
        <v/>
      </c>
      <c r="C228" s="23" t="str">
        <f>_xlfn.IFNA(IF($A228&lt;&gt;"",VLOOKUP($A228,Protocolos!$A$6:$G$9992,7,FALSE),""),"Não localizado")</f>
        <v/>
      </c>
      <c r="D228" s="23" t="str">
        <f>_xlfn.IFNA(IF($A228&lt;&gt;"",VLOOKUP($A228,Protocolos!$A$6:$G$9992,6,FALSE),""),"Não localizado")</f>
        <v/>
      </c>
      <c r="E228" s="50"/>
    </row>
    <row r="229" spans="1:5" x14ac:dyDescent="0.25">
      <c r="A229" s="24"/>
      <c r="B229" s="22" t="str">
        <f>_xlfn.IFNA(IF($A229&lt;&gt;"",VLOOKUP($A229,Protocolos!$A$6:$G$9992,2,FALSE),""),"Não localizado")</f>
        <v/>
      </c>
      <c r="C229" s="23" t="str">
        <f>_xlfn.IFNA(IF($A229&lt;&gt;"",VLOOKUP($A229,Protocolos!$A$6:$G$9992,7,FALSE),""),"Não localizado")</f>
        <v/>
      </c>
      <c r="D229" s="23" t="str">
        <f>_xlfn.IFNA(IF($A229&lt;&gt;"",VLOOKUP($A229,Protocolos!$A$6:$G$9992,6,FALSE),""),"Não localizado")</f>
        <v/>
      </c>
      <c r="E229" s="50"/>
    </row>
    <row r="230" spans="1:5" x14ac:dyDescent="0.25">
      <c r="A230" s="24"/>
      <c r="B230" s="22" t="str">
        <f>_xlfn.IFNA(IF($A230&lt;&gt;"",VLOOKUP($A230,Protocolos!$A$6:$G$9992,2,FALSE),""),"Não localizado")</f>
        <v/>
      </c>
      <c r="C230" s="23" t="str">
        <f>_xlfn.IFNA(IF($A230&lt;&gt;"",VLOOKUP($A230,Protocolos!$A$6:$G$9992,7,FALSE),""),"Não localizado")</f>
        <v/>
      </c>
      <c r="D230" s="23" t="str">
        <f>_xlfn.IFNA(IF($A230&lt;&gt;"",VLOOKUP($A230,Protocolos!$A$6:$G$9992,6,FALSE),""),"Não localizado")</f>
        <v/>
      </c>
      <c r="E230" s="50"/>
    </row>
    <row r="231" spans="1:5" x14ac:dyDescent="0.25">
      <c r="A231" s="24"/>
      <c r="B231" s="22" t="str">
        <f>_xlfn.IFNA(IF($A231&lt;&gt;"",VLOOKUP($A231,Protocolos!$A$6:$G$9992,2,FALSE),""),"Não localizado")</f>
        <v/>
      </c>
      <c r="C231" s="23" t="str">
        <f>_xlfn.IFNA(IF($A231&lt;&gt;"",VLOOKUP($A231,Protocolos!$A$6:$G$9992,7,FALSE),""),"Não localizado")</f>
        <v/>
      </c>
      <c r="D231" s="23" t="str">
        <f>_xlfn.IFNA(IF($A231&lt;&gt;"",VLOOKUP($A231,Protocolos!$A$6:$G$9992,6,FALSE),""),"Não localizado")</f>
        <v/>
      </c>
      <c r="E231" s="50"/>
    </row>
    <row r="232" spans="1:5" x14ac:dyDescent="0.25">
      <c r="A232" s="24"/>
      <c r="B232" s="22" t="str">
        <f>_xlfn.IFNA(IF($A232&lt;&gt;"",VLOOKUP($A232,Protocolos!$A$6:$G$9992,2,FALSE),""),"Não localizado")</f>
        <v/>
      </c>
      <c r="C232" s="23" t="str">
        <f>_xlfn.IFNA(IF($A232&lt;&gt;"",VLOOKUP($A232,Protocolos!$A$6:$G$9992,7,FALSE),""),"Não localizado")</f>
        <v/>
      </c>
      <c r="D232" s="23" t="str">
        <f>_xlfn.IFNA(IF($A232&lt;&gt;"",VLOOKUP($A232,Protocolos!$A$6:$G$9992,6,FALSE),""),"Não localizado")</f>
        <v/>
      </c>
      <c r="E232" s="50"/>
    </row>
    <row r="233" spans="1:5" x14ac:dyDescent="0.25">
      <c r="A233" s="24"/>
      <c r="B233" s="22" t="str">
        <f>_xlfn.IFNA(IF($A233&lt;&gt;"",VLOOKUP($A233,Protocolos!$A$6:$G$9992,2,FALSE),""),"Não localizado")</f>
        <v/>
      </c>
      <c r="C233" s="23" t="str">
        <f>_xlfn.IFNA(IF($A233&lt;&gt;"",VLOOKUP($A233,Protocolos!$A$6:$G$9992,7,FALSE),""),"Não localizado")</f>
        <v/>
      </c>
      <c r="D233" s="23" t="str">
        <f>_xlfn.IFNA(IF($A233&lt;&gt;"",VLOOKUP($A233,Protocolos!$A$6:$G$9992,6,FALSE),""),"Não localizado")</f>
        <v/>
      </c>
      <c r="E233" s="50"/>
    </row>
    <row r="234" spans="1:5" x14ac:dyDescent="0.25">
      <c r="A234" s="24"/>
      <c r="B234" s="22" t="str">
        <f>_xlfn.IFNA(IF($A234&lt;&gt;"",VLOOKUP($A234,Protocolos!$A$6:$G$9992,2,FALSE),""),"Não localizado")</f>
        <v/>
      </c>
      <c r="C234" s="23" t="str">
        <f>_xlfn.IFNA(IF($A234&lt;&gt;"",VLOOKUP($A234,Protocolos!$A$6:$G$9992,7,FALSE),""),"Não localizado")</f>
        <v/>
      </c>
      <c r="D234" s="23" t="str">
        <f>_xlfn.IFNA(IF($A234&lt;&gt;"",VLOOKUP($A234,Protocolos!$A$6:$G$9992,6,FALSE),""),"Não localizado")</f>
        <v/>
      </c>
      <c r="E234" s="50"/>
    </row>
    <row r="235" spans="1:5" x14ac:dyDescent="0.25">
      <c r="A235" s="24"/>
      <c r="B235" s="22" t="str">
        <f>_xlfn.IFNA(IF($A235&lt;&gt;"",VLOOKUP($A235,Protocolos!$A$6:$G$9992,2,FALSE),""),"Não localizado")</f>
        <v/>
      </c>
      <c r="C235" s="23" t="str">
        <f>_xlfn.IFNA(IF($A235&lt;&gt;"",VLOOKUP($A235,Protocolos!$A$6:$G$9992,7,FALSE),""),"Não localizado")</f>
        <v/>
      </c>
      <c r="D235" s="23" t="str">
        <f>_xlfn.IFNA(IF($A235&lt;&gt;"",VLOOKUP($A235,Protocolos!$A$6:$G$9992,6,FALSE),""),"Não localizado")</f>
        <v/>
      </c>
      <c r="E235" s="50"/>
    </row>
    <row r="236" spans="1:5" x14ac:dyDescent="0.25">
      <c r="A236" s="24"/>
      <c r="B236" s="22" t="str">
        <f>_xlfn.IFNA(IF($A236&lt;&gt;"",VLOOKUP($A236,Protocolos!$A$6:$G$9992,2,FALSE),""),"Não localizado")</f>
        <v/>
      </c>
      <c r="C236" s="23" t="str">
        <f>_xlfn.IFNA(IF($A236&lt;&gt;"",VLOOKUP($A236,Protocolos!$A$6:$G$9992,7,FALSE),""),"Não localizado")</f>
        <v/>
      </c>
      <c r="D236" s="23" t="str">
        <f>_xlfn.IFNA(IF($A236&lt;&gt;"",VLOOKUP($A236,Protocolos!$A$6:$G$9992,6,FALSE),""),"Não localizado")</f>
        <v/>
      </c>
      <c r="E236" s="50"/>
    </row>
    <row r="237" spans="1:5" x14ac:dyDescent="0.25">
      <c r="A237" s="24"/>
      <c r="B237" s="22" t="str">
        <f>_xlfn.IFNA(IF($A237&lt;&gt;"",VLOOKUP($A237,Protocolos!$A$6:$G$9992,2,FALSE),""),"Não localizado")</f>
        <v/>
      </c>
      <c r="C237" s="23" t="str">
        <f>_xlfn.IFNA(IF($A237&lt;&gt;"",VLOOKUP($A237,Protocolos!$A$6:$G$9992,7,FALSE),""),"Não localizado")</f>
        <v/>
      </c>
      <c r="D237" s="23" t="str">
        <f>_xlfn.IFNA(IF($A237&lt;&gt;"",VLOOKUP($A237,Protocolos!$A$6:$G$9992,6,FALSE),""),"Não localizado")</f>
        <v/>
      </c>
      <c r="E237" s="50"/>
    </row>
    <row r="238" spans="1:5" x14ac:dyDescent="0.25">
      <c r="A238" s="24"/>
      <c r="B238" s="22" t="str">
        <f>_xlfn.IFNA(IF($A238&lt;&gt;"",VLOOKUP($A238,Protocolos!$A$6:$G$9992,2,FALSE),""),"Não localizado")</f>
        <v/>
      </c>
      <c r="C238" s="23" t="str">
        <f>_xlfn.IFNA(IF($A238&lt;&gt;"",VLOOKUP($A238,Protocolos!$A$6:$G$9992,7,FALSE),""),"Não localizado")</f>
        <v/>
      </c>
      <c r="D238" s="23" t="str">
        <f>_xlfn.IFNA(IF($A238&lt;&gt;"",VLOOKUP($A238,Protocolos!$A$6:$G$9992,6,FALSE),""),"Não localizado")</f>
        <v/>
      </c>
      <c r="E238" s="50"/>
    </row>
    <row r="239" spans="1:5" x14ac:dyDescent="0.25">
      <c r="A239" s="24"/>
      <c r="B239" s="22" t="str">
        <f>_xlfn.IFNA(IF($A239&lt;&gt;"",VLOOKUP($A239,Protocolos!$A$6:$G$9992,2,FALSE),""),"Não localizado")</f>
        <v/>
      </c>
      <c r="C239" s="23" t="str">
        <f>_xlfn.IFNA(IF($A239&lt;&gt;"",VLOOKUP($A239,Protocolos!$A$6:$G$9992,7,FALSE),""),"Não localizado")</f>
        <v/>
      </c>
      <c r="D239" s="23" t="str">
        <f>_xlfn.IFNA(IF($A239&lt;&gt;"",VLOOKUP($A239,Protocolos!$A$6:$G$9992,6,FALSE),""),"Não localizado")</f>
        <v/>
      </c>
      <c r="E239" s="50"/>
    </row>
    <row r="240" spans="1:5" x14ac:dyDescent="0.25">
      <c r="A240" s="24"/>
      <c r="B240" s="22" t="str">
        <f>_xlfn.IFNA(IF($A240&lt;&gt;"",VLOOKUP($A240,Protocolos!$A$6:$G$9992,2,FALSE),""),"Não localizado")</f>
        <v/>
      </c>
      <c r="C240" s="23" t="str">
        <f>_xlfn.IFNA(IF($A240&lt;&gt;"",VLOOKUP($A240,Protocolos!$A$6:$G$9992,7,FALSE),""),"Não localizado")</f>
        <v/>
      </c>
      <c r="D240" s="23" t="str">
        <f>_xlfn.IFNA(IF($A240&lt;&gt;"",VLOOKUP($A240,Protocolos!$A$6:$G$9992,6,FALSE),""),"Não localizado")</f>
        <v/>
      </c>
      <c r="E240" s="50"/>
    </row>
    <row r="241" spans="1:5" x14ac:dyDescent="0.25">
      <c r="A241" s="24"/>
      <c r="B241" s="22" t="str">
        <f>_xlfn.IFNA(IF($A241&lt;&gt;"",VLOOKUP($A241,Protocolos!$A$6:$G$9992,2,FALSE),""),"Não localizado")</f>
        <v/>
      </c>
      <c r="C241" s="23" t="str">
        <f>_xlfn.IFNA(IF($A241&lt;&gt;"",VLOOKUP($A241,Protocolos!$A$6:$G$9992,7,FALSE),""),"Não localizado")</f>
        <v/>
      </c>
      <c r="D241" s="23" t="str">
        <f>_xlfn.IFNA(IF($A241&lt;&gt;"",VLOOKUP($A241,Protocolos!$A$6:$G$9992,6,FALSE),""),"Não localizado")</f>
        <v/>
      </c>
      <c r="E241" s="50"/>
    </row>
    <row r="242" spans="1:5" x14ac:dyDescent="0.25">
      <c r="A242" s="24"/>
      <c r="B242" s="22" t="str">
        <f>_xlfn.IFNA(IF($A242&lt;&gt;"",VLOOKUP($A242,Protocolos!$A$6:$G$9992,2,FALSE),""),"Não localizado")</f>
        <v/>
      </c>
      <c r="C242" s="23" t="str">
        <f>_xlfn.IFNA(IF($A242&lt;&gt;"",VLOOKUP($A242,Protocolos!$A$6:$G$9992,7,FALSE),""),"Não localizado")</f>
        <v/>
      </c>
      <c r="D242" s="23" t="str">
        <f>_xlfn.IFNA(IF($A242&lt;&gt;"",VLOOKUP($A242,Protocolos!$A$6:$G$9992,6,FALSE),""),"Não localizado")</f>
        <v/>
      </c>
      <c r="E242" s="50"/>
    </row>
    <row r="243" spans="1:5" x14ac:dyDescent="0.25">
      <c r="A243" s="24"/>
      <c r="B243" s="22" t="str">
        <f>_xlfn.IFNA(IF($A243&lt;&gt;"",VLOOKUP($A243,Protocolos!$A$6:$G$9992,2,FALSE),""),"Não localizado")</f>
        <v/>
      </c>
      <c r="C243" s="23" t="str">
        <f>_xlfn.IFNA(IF($A243&lt;&gt;"",VLOOKUP($A243,Protocolos!$A$6:$G$9992,7,FALSE),""),"Não localizado")</f>
        <v/>
      </c>
      <c r="D243" s="23" t="str">
        <f>_xlfn.IFNA(IF($A243&lt;&gt;"",VLOOKUP($A243,Protocolos!$A$6:$G$9992,6,FALSE),""),"Não localizado")</f>
        <v/>
      </c>
      <c r="E243" s="50"/>
    </row>
    <row r="244" spans="1:5" x14ac:dyDescent="0.25">
      <c r="A244" s="24"/>
      <c r="B244" s="22" t="str">
        <f>_xlfn.IFNA(IF($A244&lt;&gt;"",VLOOKUP($A244,Protocolos!$A$6:$G$9992,2,FALSE),""),"Não localizado")</f>
        <v/>
      </c>
      <c r="C244" s="23" t="str">
        <f>_xlfn.IFNA(IF($A244&lt;&gt;"",VLOOKUP($A244,Protocolos!$A$6:$G$9992,7,FALSE),""),"Não localizado")</f>
        <v/>
      </c>
      <c r="D244" s="23" t="str">
        <f>_xlfn.IFNA(IF($A244&lt;&gt;"",VLOOKUP($A244,Protocolos!$A$6:$G$9992,6,FALSE),""),"Não localizado")</f>
        <v/>
      </c>
      <c r="E244" s="50"/>
    </row>
    <row r="245" spans="1:5" x14ac:dyDescent="0.25">
      <c r="A245" s="24"/>
      <c r="B245" s="22" t="str">
        <f>_xlfn.IFNA(IF($A245&lt;&gt;"",VLOOKUP($A245,Protocolos!$A$6:$G$9992,2,FALSE),""),"Não localizado")</f>
        <v/>
      </c>
      <c r="C245" s="23" t="str">
        <f>_xlfn.IFNA(IF($A245&lt;&gt;"",VLOOKUP($A245,Protocolos!$A$6:$G$9992,7,FALSE),""),"Não localizado")</f>
        <v/>
      </c>
      <c r="D245" s="23" t="str">
        <f>_xlfn.IFNA(IF($A245&lt;&gt;"",VLOOKUP($A245,Protocolos!$A$6:$G$9992,6,FALSE),""),"Não localizado")</f>
        <v/>
      </c>
      <c r="E245" s="50"/>
    </row>
    <row r="246" spans="1:5" x14ac:dyDescent="0.25">
      <c r="A246" s="24"/>
      <c r="B246" s="22" t="str">
        <f>_xlfn.IFNA(IF($A246&lt;&gt;"",VLOOKUP($A246,Protocolos!$A$6:$G$9992,2,FALSE),""),"Não localizado")</f>
        <v/>
      </c>
      <c r="C246" s="23" t="str">
        <f>_xlfn.IFNA(IF($A246&lt;&gt;"",VLOOKUP($A246,Protocolos!$A$6:$G$9992,7,FALSE),""),"Não localizado")</f>
        <v/>
      </c>
      <c r="D246" s="23" t="str">
        <f>_xlfn.IFNA(IF($A246&lt;&gt;"",VLOOKUP($A246,Protocolos!$A$6:$G$9992,6,FALSE),""),"Não localizado")</f>
        <v/>
      </c>
      <c r="E246" s="50"/>
    </row>
    <row r="247" spans="1:5" x14ac:dyDescent="0.25">
      <c r="A247" s="24"/>
      <c r="B247" s="22" t="str">
        <f>_xlfn.IFNA(IF($A247&lt;&gt;"",VLOOKUP($A247,Protocolos!$A$6:$G$9992,2,FALSE),""),"Não localizado")</f>
        <v/>
      </c>
      <c r="C247" s="23" t="str">
        <f>_xlfn.IFNA(IF($A247&lt;&gt;"",VLOOKUP($A247,Protocolos!$A$6:$G$9992,7,FALSE),""),"Não localizado")</f>
        <v/>
      </c>
      <c r="D247" s="23" t="str">
        <f>_xlfn.IFNA(IF($A247&lt;&gt;"",VLOOKUP($A247,Protocolos!$A$6:$G$9992,6,FALSE),""),"Não localizado")</f>
        <v/>
      </c>
      <c r="E247" s="50"/>
    </row>
    <row r="248" spans="1:5" x14ac:dyDescent="0.25">
      <c r="A248" s="24"/>
      <c r="B248" s="22" t="str">
        <f>_xlfn.IFNA(IF($A248&lt;&gt;"",VLOOKUP($A248,Protocolos!$A$6:$G$9992,2,FALSE),""),"Não localizado")</f>
        <v/>
      </c>
      <c r="C248" s="23" t="str">
        <f>_xlfn.IFNA(IF($A248&lt;&gt;"",VLOOKUP($A248,Protocolos!$A$6:$G$9992,7,FALSE),""),"Não localizado")</f>
        <v/>
      </c>
      <c r="D248" s="23" t="str">
        <f>_xlfn.IFNA(IF($A248&lt;&gt;"",VLOOKUP($A248,Protocolos!$A$6:$G$9992,6,FALSE),""),"Não localizado")</f>
        <v/>
      </c>
      <c r="E248" s="50"/>
    </row>
    <row r="249" spans="1:5" x14ac:dyDescent="0.25">
      <c r="A249" s="24"/>
      <c r="B249" s="22" t="str">
        <f>_xlfn.IFNA(IF($A249&lt;&gt;"",VLOOKUP($A249,Protocolos!$A$6:$G$9992,2,FALSE),""),"Não localizado")</f>
        <v/>
      </c>
      <c r="C249" s="23" t="str">
        <f>_xlfn.IFNA(IF($A249&lt;&gt;"",VLOOKUP($A249,Protocolos!$A$6:$G$9992,7,FALSE),""),"Não localizado")</f>
        <v/>
      </c>
      <c r="D249" s="23" t="str">
        <f>_xlfn.IFNA(IF($A249&lt;&gt;"",VLOOKUP($A249,Protocolos!$A$6:$G$9992,6,FALSE),""),"Não localizado")</f>
        <v/>
      </c>
      <c r="E249" s="50"/>
    </row>
    <row r="250" spans="1:5" x14ac:dyDescent="0.25">
      <c r="A250" s="24"/>
      <c r="B250" s="22" t="str">
        <f>_xlfn.IFNA(IF($A250&lt;&gt;"",VLOOKUP($A250,Protocolos!$A$6:$G$9992,2,FALSE),""),"Não localizado")</f>
        <v/>
      </c>
      <c r="C250" s="23" t="str">
        <f>_xlfn.IFNA(IF($A250&lt;&gt;"",VLOOKUP($A250,Protocolos!$A$6:$G$9992,7,FALSE),""),"Não localizado")</f>
        <v/>
      </c>
      <c r="D250" s="23" t="str">
        <f>_xlfn.IFNA(IF($A250&lt;&gt;"",VLOOKUP($A250,Protocolos!$A$6:$G$9992,6,FALSE),""),"Não localizado")</f>
        <v/>
      </c>
      <c r="E250" s="50"/>
    </row>
    <row r="251" spans="1:5" x14ac:dyDescent="0.25">
      <c r="A251" s="24"/>
      <c r="B251" s="22" t="str">
        <f>_xlfn.IFNA(IF($A251&lt;&gt;"",VLOOKUP($A251,Protocolos!$A$6:$G$9992,2,FALSE),""),"Não localizado")</f>
        <v/>
      </c>
      <c r="C251" s="23" t="str">
        <f>_xlfn.IFNA(IF($A251&lt;&gt;"",VLOOKUP($A251,Protocolos!$A$6:$G$9992,7,FALSE),""),"Não localizado")</f>
        <v/>
      </c>
      <c r="D251" s="23" t="str">
        <f>_xlfn.IFNA(IF($A251&lt;&gt;"",VLOOKUP($A251,Protocolos!$A$6:$G$9992,6,FALSE),""),"Não localizado")</f>
        <v/>
      </c>
      <c r="E251" s="50"/>
    </row>
    <row r="252" spans="1:5" x14ac:dyDescent="0.25">
      <c r="A252" s="24"/>
      <c r="B252" s="22" t="str">
        <f>_xlfn.IFNA(IF($A252&lt;&gt;"",VLOOKUP($A252,Protocolos!$A$6:$G$9992,2,FALSE),""),"Não localizado")</f>
        <v/>
      </c>
      <c r="C252" s="23" t="str">
        <f>_xlfn.IFNA(IF($A252&lt;&gt;"",VLOOKUP($A252,Protocolos!$A$6:$G$9992,7,FALSE),""),"Não localizado")</f>
        <v/>
      </c>
      <c r="D252" s="23" t="str">
        <f>_xlfn.IFNA(IF($A252&lt;&gt;"",VLOOKUP($A252,Protocolos!$A$6:$G$9992,6,FALSE),""),"Não localizado")</f>
        <v/>
      </c>
      <c r="E252" s="50"/>
    </row>
    <row r="253" spans="1:5" x14ac:dyDescent="0.25">
      <c r="A253" s="24"/>
      <c r="B253" s="22" t="str">
        <f>_xlfn.IFNA(IF($A253&lt;&gt;"",VLOOKUP($A253,Protocolos!$A$6:$G$9992,2,FALSE),""),"Não localizado")</f>
        <v/>
      </c>
      <c r="C253" s="23" t="str">
        <f>_xlfn.IFNA(IF($A253&lt;&gt;"",VLOOKUP($A253,Protocolos!$A$6:$G$9992,7,FALSE),""),"Não localizado")</f>
        <v/>
      </c>
      <c r="D253" s="23" t="str">
        <f>_xlfn.IFNA(IF($A253&lt;&gt;"",VLOOKUP($A253,Protocolos!$A$6:$G$9992,6,FALSE),""),"Não localizado")</f>
        <v/>
      </c>
      <c r="E253" s="50"/>
    </row>
    <row r="254" spans="1:5" x14ac:dyDescent="0.25">
      <c r="A254" s="62"/>
      <c r="B254" s="22" t="str">
        <f>_xlfn.IFNA(IF($A254&lt;&gt;"",VLOOKUP($A254,Protocolos!$A$6:$G$9992,2,FALSE),""),"Não localizado")</f>
        <v/>
      </c>
      <c r="C254" s="23" t="str">
        <f>_xlfn.IFNA(IF($A254&lt;&gt;"",VLOOKUP($A254,Protocolos!$A$6:$G$9992,7,FALSE),""),"Não localizado")</f>
        <v/>
      </c>
      <c r="D254" s="23" t="str">
        <f>_xlfn.IFNA(IF($A254&lt;&gt;"",VLOOKUP($A254,Protocolos!$A$6:$G$9992,6,FALSE),""),"Não localizado")</f>
        <v/>
      </c>
      <c r="E254" s="50"/>
    </row>
    <row r="255" spans="1:5" x14ac:dyDescent="0.25">
      <c r="A255" s="62"/>
      <c r="B255" s="22" t="str">
        <f>_xlfn.IFNA(IF($A255&lt;&gt;"",VLOOKUP($A255,Protocolos!$A$6:$G$9992,2,FALSE),""),"Não localizado")</f>
        <v/>
      </c>
      <c r="C255" s="23" t="str">
        <f>_xlfn.IFNA(IF($A255&lt;&gt;"",VLOOKUP($A255,Protocolos!$A$6:$G$9992,7,FALSE),""),"Não localizado")</f>
        <v/>
      </c>
      <c r="D255" s="23" t="str">
        <f>_xlfn.IFNA(IF($A255&lt;&gt;"",VLOOKUP($A255,Protocolos!$A$6:$G$9992,6,FALSE),""),"Não localizado")</f>
        <v/>
      </c>
      <c r="E255" s="50"/>
    </row>
    <row r="256" spans="1:5" x14ac:dyDescent="0.25">
      <c r="A256" s="62"/>
      <c r="B256" s="22" t="str">
        <f>_xlfn.IFNA(IF($A256&lt;&gt;"",VLOOKUP($A256,Protocolos!$A$6:$G$9992,2,FALSE),""),"Não localizado")</f>
        <v/>
      </c>
      <c r="C256" s="23" t="str">
        <f>_xlfn.IFNA(IF($A256&lt;&gt;"",VLOOKUP($A256,Protocolos!$A$6:$G$9992,7,FALSE),""),"Não localizado")</f>
        <v/>
      </c>
      <c r="D256" s="23" t="str">
        <f>_xlfn.IFNA(IF($A256&lt;&gt;"",VLOOKUP($A256,Protocolos!$A$6:$G$9992,6,FALSE),""),"Não localizado")</f>
        <v/>
      </c>
      <c r="E256" s="50"/>
    </row>
    <row r="257" spans="1:5" x14ac:dyDescent="0.25">
      <c r="A257" s="62"/>
      <c r="B257" s="22" t="str">
        <f>_xlfn.IFNA(IF($A257&lt;&gt;"",VLOOKUP($A257,Protocolos!$A$6:$G$9992,2,FALSE),""),"Não localizado")</f>
        <v/>
      </c>
      <c r="C257" s="23" t="str">
        <f>_xlfn.IFNA(IF($A257&lt;&gt;"",VLOOKUP($A257,Protocolos!$A$6:$G$9992,7,FALSE),""),"Não localizado")</f>
        <v/>
      </c>
      <c r="D257" s="23" t="str">
        <f>_xlfn.IFNA(IF($A257&lt;&gt;"",VLOOKUP($A257,Protocolos!$A$6:$G$9992,6,FALSE),""),"Não localizado")</f>
        <v/>
      </c>
      <c r="E257" s="50"/>
    </row>
    <row r="258" spans="1:5" x14ac:dyDescent="0.25">
      <c r="A258" s="62"/>
      <c r="B258" s="22" t="str">
        <f>_xlfn.IFNA(IF($A258&lt;&gt;"",VLOOKUP($A258,Protocolos!$A$6:$G$9992,2,FALSE),""),"Não localizado")</f>
        <v/>
      </c>
      <c r="C258" s="23" t="str">
        <f>_xlfn.IFNA(IF($A258&lt;&gt;"",VLOOKUP($A258,Protocolos!$A$6:$G$9992,7,FALSE),""),"Não localizado")</f>
        <v/>
      </c>
      <c r="D258" s="23" t="str">
        <f>_xlfn.IFNA(IF($A258&lt;&gt;"",VLOOKUP($A258,Protocolos!$A$6:$G$9992,6,FALSE),""),"Não localizado")</f>
        <v/>
      </c>
      <c r="E258" s="50"/>
    </row>
    <row r="259" spans="1:5" x14ac:dyDescent="0.25">
      <c r="A259" s="62"/>
      <c r="B259" s="22" t="str">
        <f>_xlfn.IFNA(IF($A259&lt;&gt;"",VLOOKUP($A259,Protocolos!$A$6:$G$9992,2,FALSE),""),"Não localizado")</f>
        <v/>
      </c>
      <c r="C259" s="23" t="str">
        <f>_xlfn.IFNA(IF($A259&lt;&gt;"",VLOOKUP($A259,Protocolos!$A$6:$G$9992,7,FALSE),""),"Não localizado")</f>
        <v/>
      </c>
      <c r="D259" s="23" t="str">
        <f>_xlfn.IFNA(IF($A259&lt;&gt;"",VLOOKUP($A259,Protocolos!$A$6:$G$9992,6,FALSE),""),"Não localizado")</f>
        <v/>
      </c>
      <c r="E259" s="50"/>
    </row>
    <row r="260" spans="1:5" x14ac:dyDescent="0.25">
      <c r="A260" s="62"/>
      <c r="B260" s="22" t="str">
        <f>_xlfn.IFNA(IF($A260&lt;&gt;"",VLOOKUP($A260,Protocolos!$A$6:$G$9992,2,FALSE),""),"Não localizado")</f>
        <v/>
      </c>
      <c r="C260" s="23" t="str">
        <f>_xlfn.IFNA(IF($A260&lt;&gt;"",VLOOKUP($A260,Protocolos!$A$6:$G$9992,7,FALSE),""),"Não localizado")</f>
        <v/>
      </c>
      <c r="D260" s="23" t="str">
        <f>_xlfn.IFNA(IF($A260&lt;&gt;"",VLOOKUP($A260,Protocolos!$A$6:$G$9992,6,FALSE),""),"Não localizado")</f>
        <v/>
      </c>
      <c r="E260" s="50"/>
    </row>
    <row r="261" spans="1:5" x14ac:dyDescent="0.25">
      <c r="A261" s="62"/>
      <c r="B261" s="22" t="str">
        <f>_xlfn.IFNA(IF($A261&lt;&gt;"",VLOOKUP($A261,Protocolos!$A$6:$G$9992,2,FALSE),""),"Não localizado")</f>
        <v/>
      </c>
      <c r="C261" s="23" t="str">
        <f>_xlfn.IFNA(IF($A261&lt;&gt;"",VLOOKUP($A261,Protocolos!$A$6:$G$9992,7,FALSE),""),"Não localizado")</f>
        <v/>
      </c>
      <c r="D261" s="23" t="str">
        <f>_xlfn.IFNA(IF($A261&lt;&gt;"",VLOOKUP($A261,Protocolos!$A$6:$G$9992,6,FALSE),""),"Não localizado")</f>
        <v/>
      </c>
      <c r="E261" s="50"/>
    </row>
    <row r="262" spans="1:5" x14ac:dyDescent="0.25">
      <c r="A262" s="62"/>
      <c r="B262" s="22" t="str">
        <f>_xlfn.IFNA(IF($A262&lt;&gt;"",VLOOKUP($A262,Protocolos!$A$6:$G$9992,2,FALSE),""),"Não localizado")</f>
        <v/>
      </c>
      <c r="C262" s="23" t="str">
        <f>_xlfn.IFNA(IF($A262&lt;&gt;"",VLOOKUP($A262,Protocolos!$A$6:$G$9992,7,FALSE),""),"Não localizado")</f>
        <v/>
      </c>
      <c r="D262" s="23" t="str">
        <f>_xlfn.IFNA(IF($A262&lt;&gt;"",VLOOKUP($A262,Protocolos!$A$6:$G$9992,6,FALSE),""),"Não localizado")</f>
        <v/>
      </c>
      <c r="E262" s="50"/>
    </row>
    <row r="263" spans="1:5" x14ac:dyDescent="0.25">
      <c r="A263" s="62"/>
      <c r="B263" s="22" t="str">
        <f>_xlfn.IFNA(IF($A263&lt;&gt;"",VLOOKUP($A263,Protocolos!$A$6:$G$9992,2,FALSE),""),"Não localizado")</f>
        <v/>
      </c>
      <c r="C263" s="23" t="str">
        <f>_xlfn.IFNA(IF($A263&lt;&gt;"",VLOOKUP($A263,Protocolos!$A$6:$G$9992,7,FALSE),""),"Não localizado")</f>
        <v/>
      </c>
      <c r="D263" s="23" t="str">
        <f>_xlfn.IFNA(IF($A263&lt;&gt;"",VLOOKUP($A263,Protocolos!$A$6:$G$9992,6,FALSE),""),"Não localizado")</f>
        <v/>
      </c>
      <c r="E263" s="50"/>
    </row>
    <row r="264" spans="1:5" x14ac:dyDescent="0.25">
      <c r="A264" s="25"/>
      <c r="B264" s="22" t="str">
        <f>_xlfn.IFNA(IF($A264&lt;&gt;"",VLOOKUP($A264,Protocolos!$A$6:$G$9992,2,FALSE),""),"Não localizado")</f>
        <v/>
      </c>
      <c r="C264" s="23" t="str">
        <f>_xlfn.IFNA(IF($A264&lt;&gt;"",VLOOKUP($A264,Protocolos!$A$6:$G$9992,7,FALSE),""),"Não localizado")</f>
        <v/>
      </c>
      <c r="D264" s="23" t="str">
        <f>_xlfn.IFNA(IF($A264&lt;&gt;"",VLOOKUP($A264,Protocolos!$A$6:$G$9992,6,FALSE),""),"Não localizado")</f>
        <v/>
      </c>
      <c r="E264" s="50"/>
    </row>
    <row r="265" spans="1:5" x14ac:dyDescent="0.25">
      <c r="A265" s="25"/>
      <c r="B265" s="22" t="str">
        <f>_xlfn.IFNA(IF($A265&lt;&gt;"",VLOOKUP($A265,Protocolos!$A$6:$G$9992,2,FALSE),""),"Não localizado")</f>
        <v/>
      </c>
      <c r="C265" s="23" t="str">
        <f>_xlfn.IFNA(IF($A265&lt;&gt;"",VLOOKUP($A265,Protocolos!$A$6:$G$9992,7,FALSE),""),"Não localizado")</f>
        <v/>
      </c>
      <c r="D265" s="23" t="str">
        <f>_xlfn.IFNA(IF($A265&lt;&gt;"",VLOOKUP($A265,Protocolos!$A$6:$G$9992,6,FALSE),""),"Não localizado")</f>
        <v/>
      </c>
      <c r="E265" s="50"/>
    </row>
    <row r="266" spans="1:5" x14ac:dyDescent="0.25">
      <c r="A266" s="25"/>
      <c r="B266" s="22" t="str">
        <f>_xlfn.IFNA(IF($A266&lt;&gt;"",VLOOKUP($A266,Protocolos!$A$6:$G$9992,2,FALSE),""),"Não localizado")</f>
        <v/>
      </c>
      <c r="C266" s="23" t="str">
        <f>_xlfn.IFNA(IF($A266&lt;&gt;"",VLOOKUP($A266,Protocolos!$A$6:$G$9992,7,FALSE),""),"Não localizado")</f>
        <v/>
      </c>
      <c r="D266" s="23" t="str">
        <f>_xlfn.IFNA(IF($A266&lt;&gt;"",VLOOKUP($A266,Protocolos!$A$6:$G$9992,6,FALSE),""),"Não localizado")</f>
        <v/>
      </c>
      <c r="E266" s="50"/>
    </row>
    <row r="267" spans="1:5" x14ac:dyDescent="0.25">
      <c r="A267" s="25"/>
      <c r="B267" s="22" t="str">
        <f>_xlfn.IFNA(IF($A267&lt;&gt;"",VLOOKUP($A267,Protocolos!$A$6:$G$9992,2,FALSE),""),"Não localizado")</f>
        <v/>
      </c>
      <c r="C267" s="23" t="str">
        <f>_xlfn.IFNA(IF($A267&lt;&gt;"",VLOOKUP($A267,Protocolos!$A$6:$G$9992,7,FALSE),""),"Não localizado")</f>
        <v/>
      </c>
      <c r="D267" s="23" t="str">
        <f>_xlfn.IFNA(IF($A267&lt;&gt;"",VLOOKUP($A267,Protocolos!$A$6:$G$9992,6,FALSE),""),"Não localizado")</f>
        <v/>
      </c>
      <c r="E267" s="50"/>
    </row>
    <row r="268" spans="1:5" x14ac:dyDescent="0.25">
      <c r="A268" s="25"/>
      <c r="B268" s="22" t="str">
        <f>_xlfn.IFNA(IF($A268&lt;&gt;"",VLOOKUP($A268,Protocolos!$A$6:$G$9992,2,FALSE),""),"Não localizado")</f>
        <v/>
      </c>
      <c r="C268" s="23" t="str">
        <f>_xlfn.IFNA(IF($A268&lt;&gt;"",VLOOKUP($A268,Protocolos!$A$6:$G$9992,7,FALSE),""),"Não localizado")</f>
        <v/>
      </c>
      <c r="D268" s="23" t="str">
        <f>_xlfn.IFNA(IF($A268&lt;&gt;"",VLOOKUP($A268,Protocolos!$A$6:$G$9992,6,FALSE),""),"Não localizado")</f>
        <v/>
      </c>
      <c r="E268" s="50"/>
    </row>
    <row r="269" spans="1:5" x14ac:dyDescent="0.25">
      <c r="A269" s="25"/>
      <c r="B269" s="22" t="str">
        <f>_xlfn.IFNA(IF($A269&lt;&gt;"",VLOOKUP($A269,Protocolos!$A$6:$G$9992,2,FALSE),""),"Não localizado")</f>
        <v/>
      </c>
      <c r="C269" s="23" t="str">
        <f>_xlfn.IFNA(IF($A269&lt;&gt;"",VLOOKUP($A269,Protocolos!$A$6:$G$9992,7,FALSE),""),"Não localizado")</f>
        <v/>
      </c>
      <c r="D269" s="23" t="str">
        <f>_xlfn.IFNA(IF($A269&lt;&gt;"",VLOOKUP($A269,Protocolos!$A$6:$G$9992,6,FALSE),""),"Não localizado")</f>
        <v/>
      </c>
      <c r="E269" s="50"/>
    </row>
    <row r="270" spans="1:5" x14ac:dyDescent="0.25">
      <c r="A270" s="25"/>
      <c r="B270" s="22" t="str">
        <f>_xlfn.IFNA(IF($A270&lt;&gt;"",VLOOKUP($A270,Protocolos!$A$6:$G$9992,2,FALSE),""),"Não localizado")</f>
        <v/>
      </c>
      <c r="C270" s="23" t="str">
        <f>_xlfn.IFNA(IF($A270&lt;&gt;"",VLOOKUP($A270,Protocolos!$A$6:$G$9992,7,FALSE),""),"Não localizado")</f>
        <v/>
      </c>
      <c r="D270" s="23" t="str">
        <f>_xlfn.IFNA(IF($A270&lt;&gt;"",VLOOKUP($A270,Protocolos!$A$6:$G$9992,6,FALSE),""),"Não localizado")</f>
        <v/>
      </c>
      <c r="E270" s="50"/>
    </row>
    <row r="271" spans="1:5" x14ac:dyDescent="0.25">
      <c r="A271" s="25"/>
      <c r="B271" s="22" t="str">
        <f>_xlfn.IFNA(IF($A271&lt;&gt;"",VLOOKUP($A271,Protocolos!$A$6:$G$9992,2,FALSE),""),"Não localizado")</f>
        <v/>
      </c>
      <c r="C271" s="23" t="str">
        <f>_xlfn.IFNA(IF($A271&lt;&gt;"",VLOOKUP($A271,Protocolos!$A$6:$G$9992,7,FALSE),""),"Não localizado")</f>
        <v/>
      </c>
      <c r="D271" s="23" t="str">
        <f>_xlfn.IFNA(IF($A271&lt;&gt;"",VLOOKUP($A271,Protocolos!$A$6:$G$9992,6,FALSE),""),"Não localizado")</f>
        <v/>
      </c>
      <c r="E271" s="50"/>
    </row>
    <row r="272" spans="1:5" x14ac:dyDescent="0.25">
      <c r="A272" s="25"/>
      <c r="B272" s="22" t="str">
        <f>_xlfn.IFNA(IF($A272&lt;&gt;"",VLOOKUP($A272,Protocolos!$A$6:$G$9992,2,FALSE),""),"Não localizado")</f>
        <v/>
      </c>
      <c r="C272" s="23" t="str">
        <f>_xlfn.IFNA(IF($A272&lt;&gt;"",VLOOKUP($A272,Protocolos!$A$6:$G$9992,7,FALSE),""),"Não localizado")</f>
        <v/>
      </c>
      <c r="D272" s="23" t="str">
        <f>_xlfn.IFNA(IF($A272&lt;&gt;"",VLOOKUP($A272,Protocolos!$A$6:$G$9992,6,FALSE),""),"Não localizado")</f>
        <v/>
      </c>
      <c r="E272" s="50"/>
    </row>
    <row r="273" spans="1:5" x14ac:dyDescent="0.25">
      <c r="A273" s="25"/>
      <c r="B273" s="22" t="str">
        <f>_xlfn.IFNA(IF($A273&lt;&gt;"",VLOOKUP($A273,Protocolos!$A$6:$G$9992,2,FALSE),""),"Não localizado")</f>
        <v/>
      </c>
      <c r="C273" s="23" t="str">
        <f>_xlfn.IFNA(IF($A273&lt;&gt;"",VLOOKUP($A273,Protocolos!$A$6:$G$9992,7,FALSE),""),"Não localizado")</f>
        <v/>
      </c>
      <c r="D273" s="23" t="str">
        <f>_xlfn.IFNA(IF($A273&lt;&gt;"",VLOOKUP($A273,Protocolos!$A$6:$G$9992,6,FALSE),""),"Não localizado")</f>
        <v/>
      </c>
      <c r="E273" s="50"/>
    </row>
    <row r="274" spans="1:5" x14ac:dyDescent="0.25">
      <c r="A274" s="25"/>
      <c r="B274" s="22" t="str">
        <f>_xlfn.IFNA(IF($A274&lt;&gt;"",VLOOKUP($A274,Protocolos!$A$6:$G$9992,2,FALSE),""),"Não localizado")</f>
        <v/>
      </c>
      <c r="C274" s="23" t="str">
        <f>_xlfn.IFNA(IF($A274&lt;&gt;"",VLOOKUP($A274,Protocolos!$A$6:$G$9992,7,FALSE),""),"Não localizado")</f>
        <v/>
      </c>
      <c r="D274" s="23" t="str">
        <f>_xlfn.IFNA(IF($A274&lt;&gt;"",VLOOKUP($A274,Protocolos!$A$6:$G$9992,6,FALSE),""),"Não localizado")</f>
        <v/>
      </c>
      <c r="E274" s="50"/>
    </row>
    <row r="275" spans="1:5" x14ac:dyDescent="0.25">
      <c r="A275" s="25"/>
      <c r="B275" s="22" t="str">
        <f>_xlfn.IFNA(IF($A275&lt;&gt;"",VLOOKUP($A275,Protocolos!$A$6:$G$9992,2,FALSE),""),"Não localizado")</f>
        <v/>
      </c>
      <c r="C275" s="23" t="str">
        <f>_xlfn.IFNA(IF($A275&lt;&gt;"",VLOOKUP($A275,Protocolos!$A$6:$G$9992,7,FALSE),""),"Não localizado")</f>
        <v/>
      </c>
      <c r="D275" s="23" t="str">
        <f>_xlfn.IFNA(IF($A275&lt;&gt;"",VLOOKUP($A275,Protocolos!$A$6:$G$9992,6,FALSE),""),"Não localizado")</f>
        <v/>
      </c>
      <c r="E275" s="50"/>
    </row>
    <row r="276" spans="1:5" x14ac:dyDescent="0.25">
      <c r="A276" s="25"/>
      <c r="B276" s="22" t="str">
        <f>_xlfn.IFNA(IF($A276&lt;&gt;"",VLOOKUP($A276,Protocolos!$A$6:$G$9992,2,FALSE),""),"Não localizado")</f>
        <v/>
      </c>
      <c r="C276" s="23" t="str">
        <f>_xlfn.IFNA(IF($A276&lt;&gt;"",VLOOKUP($A276,Protocolos!$A$6:$G$9992,7,FALSE),""),"Não localizado")</f>
        <v/>
      </c>
      <c r="D276" s="23" t="str">
        <f>_xlfn.IFNA(IF($A276&lt;&gt;"",VLOOKUP($A276,Protocolos!$A$6:$G$9992,6,FALSE),""),"Não localizado")</f>
        <v/>
      </c>
      <c r="E276" s="50"/>
    </row>
    <row r="277" spans="1:5" x14ac:dyDescent="0.25">
      <c r="A277" s="25"/>
      <c r="B277" s="22" t="str">
        <f>_xlfn.IFNA(IF($A277&lt;&gt;"",VLOOKUP($A277,Protocolos!$A$6:$G$9992,2,FALSE),""),"Não localizado")</f>
        <v/>
      </c>
      <c r="C277" s="23" t="str">
        <f>_xlfn.IFNA(IF($A277&lt;&gt;"",VLOOKUP($A277,Protocolos!$A$6:$G$9992,7,FALSE),""),"Não localizado")</f>
        <v/>
      </c>
      <c r="D277" s="23" t="str">
        <f>_xlfn.IFNA(IF($A277&lt;&gt;"",VLOOKUP($A277,Protocolos!$A$6:$G$9992,6,FALSE),""),"Não localizado")</f>
        <v/>
      </c>
      <c r="E277" s="50"/>
    </row>
    <row r="278" spans="1:5" x14ac:dyDescent="0.25">
      <c r="A278" s="25"/>
      <c r="B278" s="22" t="str">
        <f>_xlfn.IFNA(IF($A278&lt;&gt;"",VLOOKUP($A278,Protocolos!$A$6:$G$9992,2,FALSE),""),"Não localizado")</f>
        <v/>
      </c>
      <c r="C278" s="23" t="str">
        <f>_xlfn.IFNA(IF($A278&lt;&gt;"",VLOOKUP($A278,Protocolos!$A$6:$G$9992,7,FALSE),""),"Não localizado")</f>
        <v/>
      </c>
      <c r="D278" s="23" t="str">
        <f>_xlfn.IFNA(IF($A278&lt;&gt;"",VLOOKUP($A278,Protocolos!$A$6:$G$9992,6,FALSE),""),"Não localizado")</f>
        <v/>
      </c>
      <c r="E278" s="50"/>
    </row>
    <row r="279" spans="1:5" x14ac:dyDescent="0.25">
      <c r="A279" s="25"/>
      <c r="B279" s="22" t="str">
        <f>_xlfn.IFNA(IF($A279&lt;&gt;"",VLOOKUP($A279,Protocolos!$A$6:$G$9992,2,FALSE),""),"Não localizado")</f>
        <v/>
      </c>
      <c r="C279" s="23" t="str">
        <f>_xlfn.IFNA(IF($A279&lt;&gt;"",VLOOKUP($A279,Protocolos!$A$6:$G$9992,7,FALSE),""),"Não localizado")</f>
        <v/>
      </c>
      <c r="D279" s="23" t="str">
        <f>_xlfn.IFNA(IF($A279&lt;&gt;"",VLOOKUP($A279,Protocolos!$A$6:$G$9992,6,FALSE),""),"Não localizado")</f>
        <v/>
      </c>
      <c r="E279" s="50"/>
    </row>
    <row r="280" spans="1:5" x14ac:dyDescent="0.25">
      <c r="A280" s="25"/>
      <c r="B280" s="22" t="str">
        <f>_xlfn.IFNA(IF($A280&lt;&gt;"",VLOOKUP($A280,Protocolos!$A$6:$G$9992,2,FALSE),""),"Não localizado")</f>
        <v/>
      </c>
      <c r="C280" s="23" t="str">
        <f>_xlfn.IFNA(IF($A280&lt;&gt;"",VLOOKUP($A280,Protocolos!$A$6:$G$9992,7,FALSE),""),"Não localizado")</f>
        <v/>
      </c>
      <c r="D280" s="23" t="str">
        <f>_xlfn.IFNA(IF($A280&lt;&gt;"",VLOOKUP($A280,Protocolos!$A$6:$G$9992,6,FALSE),""),"Não localizado")</f>
        <v/>
      </c>
      <c r="E280" s="50"/>
    </row>
    <row r="281" spans="1:5" x14ac:dyDescent="0.25">
      <c r="A281" s="25"/>
      <c r="B281" s="22" t="str">
        <f>_xlfn.IFNA(IF($A281&lt;&gt;"",VLOOKUP($A281,Protocolos!$A$6:$G$9992,2,FALSE),""),"Não localizado")</f>
        <v/>
      </c>
      <c r="C281" s="23" t="str">
        <f>_xlfn.IFNA(IF($A281&lt;&gt;"",VLOOKUP($A281,Protocolos!$A$6:$G$9992,7,FALSE),""),"Não localizado")</f>
        <v/>
      </c>
      <c r="D281" s="23" t="str">
        <f>_xlfn.IFNA(IF($A281&lt;&gt;"",VLOOKUP($A281,Protocolos!$A$6:$G$9992,6,FALSE),""),"Não localizado")</f>
        <v/>
      </c>
      <c r="E281" s="50"/>
    </row>
    <row r="282" spans="1:5" x14ac:dyDescent="0.25">
      <c r="A282" s="25"/>
      <c r="B282" s="22" t="str">
        <f>_xlfn.IFNA(IF($A282&lt;&gt;"",VLOOKUP($A282,Protocolos!$A$6:$G$9992,2,FALSE),""),"Não localizado")</f>
        <v/>
      </c>
      <c r="C282" s="23" t="str">
        <f>_xlfn.IFNA(IF($A282&lt;&gt;"",VLOOKUP($A282,Protocolos!$A$6:$G$9992,7,FALSE),""),"Não localizado")</f>
        <v/>
      </c>
      <c r="D282" s="23" t="str">
        <f>_xlfn.IFNA(IF($A282&lt;&gt;"",VLOOKUP($A282,Protocolos!$A$6:$G$9992,6,FALSE),""),"Não localizado")</f>
        <v/>
      </c>
      <c r="E282" s="50"/>
    </row>
    <row r="283" spans="1:5" x14ac:dyDescent="0.25">
      <c r="A283" s="25"/>
      <c r="B283" s="22" t="str">
        <f>_xlfn.IFNA(IF($A283&lt;&gt;"",VLOOKUP($A283,Protocolos!$A$6:$G$9992,2,FALSE),""),"Não localizado")</f>
        <v/>
      </c>
      <c r="C283" s="23" t="str">
        <f>_xlfn.IFNA(IF($A283&lt;&gt;"",VLOOKUP($A283,Protocolos!$A$6:$G$9992,7,FALSE),""),"Não localizado")</f>
        <v/>
      </c>
      <c r="D283" s="23" t="str">
        <f>_xlfn.IFNA(IF($A283&lt;&gt;"",VLOOKUP($A283,Protocolos!$A$6:$G$9992,6,FALSE),""),"Não localizado")</f>
        <v/>
      </c>
      <c r="E283" s="50"/>
    </row>
    <row r="284" spans="1:5" x14ac:dyDescent="0.25">
      <c r="A284" s="25"/>
      <c r="B284" s="22" t="str">
        <f>_xlfn.IFNA(IF($A284&lt;&gt;"",VLOOKUP($A284,Protocolos!$A$6:$G$9992,2,FALSE),""),"Não localizado")</f>
        <v/>
      </c>
      <c r="C284" s="23" t="str">
        <f>_xlfn.IFNA(IF($A284&lt;&gt;"",VLOOKUP($A284,Protocolos!$A$6:$G$9992,7,FALSE),""),"Não localizado")</f>
        <v/>
      </c>
      <c r="D284" s="23" t="str">
        <f>_xlfn.IFNA(IF($A284&lt;&gt;"",VLOOKUP($A284,Protocolos!$A$6:$G$9992,6,FALSE),""),"Não localizado")</f>
        <v/>
      </c>
      <c r="E284" s="50"/>
    </row>
    <row r="285" spans="1:5" x14ac:dyDescent="0.25">
      <c r="A285" s="25"/>
      <c r="B285" s="22" t="str">
        <f>_xlfn.IFNA(IF($A285&lt;&gt;"",VLOOKUP($A285,Protocolos!$A$6:$G$9992,2,FALSE),""),"Não localizado")</f>
        <v/>
      </c>
      <c r="C285" s="23" t="str">
        <f>_xlfn.IFNA(IF($A285&lt;&gt;"",VLOOKUP($A285,Protocolos!$A$6:$G$9992,7,FALSE),""),"Não localizado")</f>
        <v/>
      </c>
      <c r="D285" s="23" t="str">
        <f>_xlfn.IFNA(IF($A285&lt;&gt;"",VLOOKUP($A285,Protocolos!$A$6:$G$9992,6,FALSE),""),"Não localizado")</f>
        <v/>
      </c>
      <c r="E285" s="50"/>
    </row>
    <row r="286" spans="1:5" x14ac:dyDescent="0.25">
      <c r="A286" s="25"/>
      <c r="B286" s="22" t="str">
        <f>_xlfn.IFNA(IF($A286&lt;&gt;"",VLOOKUP($A286,Protocolos!$A$6:$G$9992,2,FALSE),""),"Não localizado")</f>
        <v/>
      </c>
      <c r="C286" s="23" t="str">
        <f>_xlfn.IFNA(IF($A286&lt;&gt;"",VLOOKUP($A286,Protocolos!$A$6:$G$9992,7,FALSE),""),"Não localizado")</f>
        <v/>
      </c>
      <c r="D286" s="23" t="str">
        <f>_xlfn.IFNA(IF($A286&lt;&gt;"",VLOOKUP($A286,Protocolos!$A$6:$G$9992,6,FALSE),""),"Não localizado")</f>
        <v/>
      </c>
      <c r="E286" s="50"/>
    </row>
    <row r="287" spans="1:5" x14ac:dyDescent="0.25">
      <c r="A287" s="25"/>
      <c r="B287" s="22" t="str">
        <f>_xlfn.IFNA(IF($A287&lt;&gt;"",VLOOKUP($A287,Protocolos!$A$6:$G$9992,2,FALSE),""),"Não localizado")</f>
        <v/>
      </c>
      <c r="C287" s="23" t="str">
        <f>_xlfn.IFNA(IF($A287&lt;&gt;"",VLOOKUP($A287,Protocolos!$A$6:$G$9992,7,FALSE),""),"Não localizado")</f>
        <v/>
      </c>
      <c r="D287" s="23" t="str">
        <f>_xlfn.IFNA(IF($A287&lt;&gt;"",VLOOKUP($A287,Protocolos!$A$6:$G$9992,6,FALSE),""),"Não localizado")</f>
        <v/>
      </c>
      <c r="E287" s="50"/>
    </row>
    <row r="288" spans="1:5" x14ac:dyDescent="0.25">
      <c r="A288" s="25"/>
      <c r="B288" s="22" t="str">
        <f>_xlfn.IFNA(IF($A288&lt;&gt;"",VLOOKUP($A288,Protocolos!$A$6:$G$9992,2,FALSE),""),"Não localizado")</f>
        <v/>
      </c>
      <c r="C288" s="23" t="str">
        <f>_xlfn.IFNA(IF($A288&lt;&gt;"",VLOOKUP($A288,Protocolos!$A$6:$G$9992,7,FALSE),""),"Não localizado")</f>
        <v/>
      </c>
      <c r="D288" s="23" t="str">
        <f>_xlfn.IFNA(IF($A288&lt;&gt;"",VLOOKUP($A288,Protocolos!$A$6:$G$9992,6,FALSE),""),"Não localizado")</f>
        <v/>
      </c>
      <c r="E288" s="50"/>
    </row>
    <row r="289" spans="1:5" x14ac:dyDescent="0.25">
      <c r="A289" s="25"/>
      <c r="B289" s="22" t="str">
        <f>_xlfn.IFNA(IF($A289&lt;&gt;"",VLOOKUP($A289,Protocolos!$A$6:$G$9992,2,FALSE),""),"Não localizado")</f>
        <v/>
      </c>
      <c r="C289" s="23" t="str">
        <f>_xlfn.IFNA(IF($A289&lt;&gt;"",VLOOKUP($A289,Protocolos!$A$6:$G$9992,7,FALSE),""),"Não localizado")</f>
        <v/>
      </c>
      <c r="D289" s="23" t="str">
        <f>_xlfn.IFNA(IF($A289&lt;&gt;"",VLOOKUP($A289,Protocolos!$A$6:$G$9992,6,FALSE),""),"Não localizado")</f>
        <v/>
      </c>
      <c r="E289" s="50"/>
    </row>
    <row r="290" spans="1:5" x14ac:dyDescent="0.25">
      <c r="A290" s="25"/>
      <c r="B290" s="22" t="str">
        <f>_xlfn.IFNA(IF($A290&lt;&gt;"",VLOOKUP($A290,Protocolos!$A$6:$G$9992,2,FALSE),""),"Não localizado")</f>
        <v/>
      </c>
      <c r="C290" s="23" t="str">
        <f>_xlfn.IFNA(IF($A290&lt;&gt;"",VLOOKUP($A290,Protocolos!$A$6:$G$9992,7,FALSE),""),"Não localizado")</f>
        <v/>
      </c>
      <c r="D290" s="23" t="str">
        <f>_xlfn.IFNA(IF($A290&lt;&gt;"",VLOOKUP($A290,Protocolos!$A$6:$G$9992,6,FALSE),""),"Não localizado")</f>
        <v/>
      </c>
      <c r="E290" s="50"/>
    </row>
    <row r="291" spans="1:5" x14ac:dyDescent="0.25">
      <c r="A291" s="25"/>
      <c r="B291" s="22" t="str">
        <f>_xlfn.IFNA(IF($A291&lt;&gt;"",VLOOKUP($A291,Protocolos!$A$6:$G$9992,2,FALSE),""),"Não localizado")</f>
        <v/>
      </c>
      <c r="C291" s="23" t="str">
        <f>_xlfn.IFNA(IF($A291&lt;&gt;"",VLOOKUP($A291,Protocolos!$A$6:$G$9992,7,FALSE),""),"Não localizado")</f>
        <v/>
      </c>
      <c r="D291" s="23" t="str">
        <f>_xlfn.IFNA(IF($A291&lt;&gt;"",VLOOKUP($A291,Protocolos!$A$6:$G$9992,6,FALSE),""),"Não localizado")</f>
        <v/>
      </c>
      <c r="E291" s="50"/>
    </row>
    <row r="292" spans="1:5" x14ac:dyDescent="0.25">
      <c r="A292" s="25"/>
      <c r="B292" s="22" t="str">
        <f>_xlfn.IFNA(IF($A292&lt;&gt;"",VLOOKUP($A292,Protocolos!$A$6:$G$9992,2,FALSE),""),"Não localizado")</f>
        <v/>
      </c>
      <c r="C292" s="23" t="str">
        <f>_xlfn.IFNA(IF($A292&lt;&gt;"",VLOOKUP($A292,Protocolos!$A$6:$G$9992,7,FALSE),""),"Não localizado")</f>
        <v/>
      </c>
      <c r="D292" s="23" t="str">
        <f>_xlfn.IFNA(IF($A292&lt;&gt;"",VLOOKUP($A292,Protocolos!$A$6:$G$9992,6,FALSE),""),"Não localizado")</f>
        <v/>
      </c>
      <c r="E292" s="50"/>
    </row>
    <row r="293" spans="1:5" x14ac:dyDescent="0.25">
      <c r="A293" s="25"/>
      <c r="B293" s="22" t="str">
        <f>_xlfn.IFNA(IF($A293&lt;&gt;"",VLOOKUP($A293,Protocolos!$A$6:$G$9992,2,FALSE),""),"Não localizado")</f>
        <v/>
      </c>
      <c r="C293" s="23" t="str">
        <f>_xlfn.IFNA(IF($A293&lt;&gt;"",VLOOKUP($A293,Protocolos!$A$6:$G$9992,7,FALSE),""),"Não localizado")</f>
        <v/>
      </c>
      <c r="D293" s="23" t="str">
        <f>_xlfn.IFNA(IF($A293&lt;&gt;"",VLOOKUP($A293,Protocolos!$A$6:$G$9992,6,FALSE),""),"Não localizado")</f>
        <v/>
      </c>
      <c r="E293" s="50"/>
    </row>
    <row r="294" spans="1:5" x14ac:dyDescent="0.25">
      <c r="A294" s="25"/>
      <c r="B294" s="22" t="str">
        <f>_xlfn.IFNA(IF($A294&lt;&gt;"",VLOOKUP($A294,Protocolos!$A$6:$G$9992,2,FALSE),""),"Não localizado")</f>
        <v/>
      </c>
      <c r="C294" s="23" t="str">
        <f>_xlfn.IFNA(IF($A294&lt;&gt;"",VLOOKUP($A294,Protocolos!$A$6:$G$9992,7,FALSE),""),"Não localizado")</f>
        <v/>
      </c>
      <c r="D294" s="23" t="str">
        <f>_xlfn.IFNA(IF($A294&lt;&gt;"",VLOOKUP($A294,Protocolos!$A$6:$G$9992,6,FALSE),""),"Não localizado")</f>
        <v/>
      </c>
      <c r="E294" s="50"/>
    </row>
    <row r="295" spans="1:5" x14ac:dyDescent="0.25">
      <c r="A295" s="25"/>
      <c r="B295" s="22" t="str">
        <f>_xlfn.IFNA(IF($A295&lt;&gt;"",VLOOKUP($A295,Protocolos!$A$6:$G$9992,2,FALSE),""),"Não localizado")</f>
        <v/>
      </c>
      <c r="C295" s="23" t="str">
        <f>_xlfn.IFNA(IF($A295&lt;&gt;"",VLOOKUP($A295,Protocolos!$A$6:$G$9992,7,FALSE),""),"Não localizado")</f>
        <v/>
      </c>
      <c r="D295" s="23" t="str">
        <f>_xlfn.IFNA(IF($A295&lt;&gt;"",VLOOKUP($A295,Protocolos!$A$6:$G$9992,6,FALSE),""),"Não localizado")</f>
        <v/>
      </c>
      <c r="E295" s="50"/>
    </row>
    <row r="296" spans="1:5" x14ac:dyDescent="0.25">
      <c r="A296" s="25"/>
      <c r="B296" s="22" t="str">
        <f>_xlfn.IFNA(IF($A296&lt;&gt;"",VLOOKUP($A296,Protocolos!$A$6:$G$9992,2,FALSE),""),"Não localizado")</f>
        <v/>
      </c>
      <c r="C296" s="23" t="str">
        <f>_xlfn.IFNA(IF($A296&lt;&gt;"",VLOOKUP($A296,Protocolos!$A$6:$G$9992,7,FALSE),""),"Não localizado")</f>
        <v/>
      </c>
      <c r="D296" s="23" t="str">
        <f>_xlfn.IFNA(IF($A296&lt;&gt;"",VLOOKUP($A296,Protocolos!$A$6:$G$9992,6,FALSE),""),"Não localizado")</f>
        <v/>
      </c>
      <c r="E296" s="50"/>
    </row>
    <row r="297" spans="1:5" x14ac:dyDescent="0.25">
      <c r="A297" s="25"/>
      <c r="B297" s="22" t="str">
        <f>_xlfn.IFNA(IF($A297&lt;&gt;"",VLOOKUP($A297,Protocolos!$A$6:$G$9992,2,FALSE),""),"Não localizado")</f>
        <v/>
      </c>
      <c r="C297" s="23" t="str">
        <f>_xlfn.IFNA(IF($A297&lt;&gt;"",VLOOKUP($A297,Protocolos!$A$6:$G$9992,7,FALSE),""),"Não localizado")</f>
        <v/>
      </c>
      <c r="D297" s="23" t="str">
        <f>_xlfn.IFNA(IF($A297&lt;&gt;"",VLOOKUP($A297,Protocolos!$A$6:$G$9992,6,FALSE),""),"Não localizado")</f>
        <v/>
      </c>
      <c r="E297" s="50"/>
    </row>
    <row r="298" spans="1:5" x14ac:dyDescent="0.25">
      <c r="A298" s="25"/>
      <c r="B298" s="22" t="str">
        <f>_xlfn.IFNA(IF($A298&lt;&gt;"",VLOOKUP($A298,Protocolos!$A$6:$G$9992,2,FALSE),""),"Não localizado")</f>
        <v/>
      </c>
      <c r="C298" s="23" t="str">
        <f>_xlfn.IFNA(IF($A298&lt;&gt;"",VLOOKUP($A298,Protocolos!$A$6:$G$9992,7,FALSE),""),"Não localizado")</f>
        <v/>
      </c>
      <c r="D298" s="23" t="str">
        <f>_xlfn.IFNA(IF($A298&lt;&gt;"",VLOOKUP($A298,Protocolos!$A$6:$G$9992,6,FALSE),""),"Não localizado")</f>
        <v/>
      </c>
      <c r="E298" s="50"/>
    </row>
    <row r="299" spans="1:5" x14ac:dyDescent="0.25">
      <c r="A299" s="25"/>
      <c r="B299" s="22" t="str">
        <f>_xlfn.IFNA(IF($A299&lt;&gt;"",VLOOKUP($A299,Protocolos!$A$6:$G$9992,2,FALSE),""),"Não localizado")</f>
        <v/>
      </c>
      <c r="C299" s="23" t="str">
        <f>_xlfn.IFNA(IF($A299&lt;&gt;"",VLOOKUP($A299,Protocolos!$A$6:$G$9992,7,FALSE),""),"Não localizado")</f>
        <v/>
      </c>
      <c r="D299" s="23" t="str">
        <f>_xlfn.IFNA(IF($A299&lt;&gt;"",VLOOKUP($A299,Protocolos!$A$6:$G$9992,6,FALSE),""),"Não localizado")</f>
        <v/>
      </c>
      <c r="E299" s="50"/>
    </row>
    <row r="300" spans="1:5" x14ac:dyDescent="0.25">
      <c r="A300" s="25"/>
      <c r="B300" s="22" t="str">
        <f>_xlfn.IFNA(IF($A300&lt;&gt;"",VLOOKUP($A300,Protocolos!$A$6:$G$9992,2,FALSE),""),"Não localizado")</f>
        <v/>
      </c>
      <c r="C300" s="23" t="str">
        <f>_xlfn.IFNA(IF($A300&lt;&gt;"",VLOOKUP($A300,Protocolos!$A$6:$G$9992,7,FALSE),""),"Não localizado")</f>
        <v/>
      </c>
      <c r="D300" s="23" t="str">
        <f>_xlfn.IFNA(IF($A300&lt;&gt;"",VLOOKUP($A300,Protocolos!$A$6:$G$9992,6,FALSE),""),"Não localizado")</f>
        <v/>
      </c>
      <c r="E300" s="50"/>
    </row>
    <row r="301" spans="1:5" x14ac:dyDescent="0.25">
      <c r="A301" s="25"/>
      <c r="B301" s="22" t="str">
        <f>_xlfn.IFNA(IF($A301&lt;&gt;"",VLOOKUP($A301,Protocolos!$A$6:$G$9992,2,FALSE),""),"Não localizado")</f>
        <v/>
      </c>
      <c r="C301" s="23" t="str">
        <f>_xlfn.IFNA(IF($A301&lt;&gt;"",VLOOKUP($A301,Protocolos!$A$6:$G$9992,7,FALSE),""),"Não localizado")</f>
        <v/>
      </c>
      <c r="D301" s="23" t="str">
        <f>_xlfn.IFNA(IF($A301&lt;&gt;"",VLOOKUP($A301,Protocolos!$A$6:$G$9992,6,FALSE),""),"Não localizado")</f>
        <v/>
      </c>
      <c r="E301" s="50"/>
    </row>
    <row r="302" spans="1:5" x14ac:dyDescent="0.25">
      <c r="A302" s="25"/>
      <c r="B302" s="22" t="str">
        <f>_xlfn.IFNA(IF($A302&lt;&gt;"",VLOOKUP($A302,Protocolos!$A$6:$G$9992,2,FALSE),""),"Não localizado")</f>
        <v/>
      </c>
      <c r="C302" s="23" t="str">
        <f>_xlfn.IFNA(IF($A302&lt;&gt;"",VLOOKUP($A302,Protocolos!$A$6:$G$9992,7,FALSE),""),"Não localizado")</f>
        <v/>
      </c>
      <c r="D302" s="23" t="str">
        <f>_xlfn.IFNA(IF($A302&lt;&gt;"",VLOOKUP($A302,Protocolos!$A$6:$G$9992,6,FALSE),""),"Não localizado")</f>
        <v/>
      </c>
      <c r="E302" s="50"/>
    </row>
    <row r="303" spans="1:5" x14ac:dyDescent="0.25">
      <c r="A303" s="25"/>
      <c r="B303" s="22" t="str">
        <f>_xlfn.IFNA(IF($A303&lt;&gt;"",VLOOKUP($A303,Protocolos!$A$6:$G$9992,2,FALSE),""),"Não localizado")</f>
        <v/>
      </c>
      <c r="C303" s="23" t="str">
        <f>_xlfn.IFNA(IF($A303&lt;&gt;"",VLOOKUP($A303,Protocolos!$A$6:$G$9992,7,FALSE),""),"Não localizado")</f>
        <v/>
      </c>
      <c r="D303" s="23" t="str">
        <f>_xlfn.IFNA(IF($A303&lt;&gt;"",VLOOKUP($A303,Protocolos!$A$6:$G$9992,6,FALSE),""),"Não localizado")</f>
        <v/>
      </c>
      <c r="E303" s="50"/>
    </row>
    <row r="304" spans="1:5" x14ac:dyDescent="0.25">
      <c r="A304" s="25"/>
      <c r="B304" s="22" t="str">
        <f>_xlfn.IFNA(IF($A304&lt;&gt;"",VLOOKUP($A304,Protocolos!$A$6:$G$9992,2,FALSE),""),"Não localizado")</f>
        <v/>
      </c>
      <c r="C304" s="23" t="str">
        <f>_xlfn.IFNA(IF($A304&lt;&gt;"",VLOOKUP($A304,Protocolos!$A$6:$G$9992,7,FALSE),""),"Não localizado")</f>
        <v/>
      </c>
      <c r="D304" s="23" t="str">
        <f>_xlfn.IFNA(IF($A304&lt;&gt;"",VLOOKUP($A304,Protocolos!$A$6:$G$9992,6,FALSE),""),"Não localizado")</f>
        <v/>
      </c>
      <c r="E304" s="50"/>
    </row>
    <row r="305" spans="1:5" x14ac:dyDescent="0.25">
      <c r="A305" s="25"/>
      <c r="B305" s="22" t="str">
        <f>_xlfn.IFNA(IF($A305&lt;&gt;"",VLOOKUP($A305,Protocolos!$A$6:$G$9992,2,FALSE),""),"Não localizado")</f>
        <v/>
      </c>
      <c r="C305" s="23" t="str">
        <f>_xlfn.IFNA(IF($A305&lt;&gt;"",VLOOKUP($A305,Protocolos!$A$6:$G$9992,7,FALSE),""),"Não localizado")</f>
        <v/>
      </c>
      <c r="D305" s="23" t="str">
        <f>_xlfn.IFNA(IF($A305&lt;&gt;"",VLOOKUP($A305,Protocolos!$A$6:$G$9992,6,FALSE),""),"Não localizado")</f>
        <v/>
      </c>
      <c r="E305" s="50"/>
    </row>
    <row r="306" spans="1:5" x14ac:dyDescent="0.25">
      <c r="A306" s="25"/>
      <c r="B306" s="22" t="str">
        <f>_xlfn.IFNA(IF($A306&lt;&gt;"",VLOOKUP($A306,Protocolos!$A$6:$G$9992,2,FALSE),""),"Não localizado")</f>
        <v/>
      </c>
      <c r="C306" s="23" t="str">
        <f>_xlfn.IFNA(IF($A306&lt;&gt;"",VLOOKUP($A306,Protocolos!$A$6:$G$9992,7,FALSE),""),"Não localizado")</f>
        <v/>
      </c>
      <c r="D306" s="23" t="str">
        <f>_xlfn.IFNA(IF($A306&lt;&gt;"",VLOOKUP($A306,Protocolos!$A$6:$G$9992,6,FALSE),""),"Não localizado")</f>
        <v/>
      </c>
      <c r="E306" s="50"/>
    </row>
    <row r="307" spans="1:5" x14ac:dyDescent="0.25">
      <c r="A307" s="25"/>
      <c r="B307" s="22" t="str">
        <f>_xlfn.IFNA(IF($A307&lt;&gt;"",VLOOKUP($A307,Protocolos!$A$6:$G$9992,2,FALSE),""),"Não localizado")</f>
        <v/>
      </c>
      <c r="C307" s="23" t="str">
        <f>_xlfn.IFNA(IF($A307&lt;&gt;"",VLOOKUP($A307,Protocolos!$A$6:$G$9992,7,FALSE),""),"Não localizado")</f>
        <v/>
      </c>
      <c r="D307" s="23" t="str">
        <f>_xlfn.IFNA(IF($A307&lt;&gt;"",VLOOKUP($A307,Protocolos!$A$6:$G$9992,6,FALSE),""),"Não localizado")</f>
        <v/>
      </c>
      <c r="E307" s="50"/>
    </row>
    <row r="308" spans="1:5" x14ac:dyDescent="0.25">
      <c r="A308" s="25"/>
      <c r="B308" s="22" t="str">
        <f>_xlfn.IFNA(IF($A308&lt;&gt;"",VLOOKUP($A308,Protocolos!$A$6:$G$9992,2,FALSE),""),"Não localizado")</f>
        <v/>
      </c>
      <c r="C308" s="23" t="str">
        <f>_xlfn.IFNA(IF($A308&lt;&gt;"",VLOOKUP($A308,Protocolos!$A$6:$G$9992,7,FALSE),""),"Não localizado")</f>
        <v/>
      </c>
      <c r="D308" s="23" t="str">
        <f>_xlfn.IFNA(IF($A308&lt;&gt;"",VLOOKUP($A308,Protocolos!$A$6:$G$9992,6,FALSE),""),"Não localizado")</f>
        <v/>
      </c>
      <c r="E308" s="50"/>
    </row>
    <row r="309" spans="1:5" x14ac:dyDescent="0.25">
      <c r="A309" s="25"/>
      <c r="B309" s="22" t="str">
        <f>_xlfn.IFNA(IF($A309&lt;&gt;"",VLOOKUP($A309,Protocolos!$A$6:$G$9992,2,FALSE),""),"Não localizado")</f>
        <v/>
      </c>
      <c r="C309" s="23" t="str">
        <f>_xlfn.IFNA(IF($A309&lt;&gt;"",VLOOKUP($A309,Protocolos!$A$6:$G$9992,7,FALSE),""),"Não localizado")</f>
        <v/>
      </c>
      <c r="D309" s="23" t="str">
        <f>_xlfn.IFNA(IF($A309&lt;&gt;"",VLOOKUP($A309,Protocolos!$A$6:$G$9992,6,FALSE),""),"Não localizado")</f>
        <v/>
      </c>
      <c r="E309" s="50"/>
    </row>
    <row r="310" spans="1:5" x14ac:dyDescent="0.25">
      <c r="A310" s="25"/>
      <c r="B310" s="22" t="str">
        <f>_xlfn.IFNA(IF($A310&lt;&gt;"",VLOOKUP($A310,Protocolos!$A$6:$G$9992,2,FALSE),""),"Não localizado")</f>
        <v/>
      </c>
      <c r="C310" s="23" t="str">
        <f>_xlfn.IFNA(IF($A310&lt;&gt;"",VLOOKUP($A310,Protocolos!$A$6:$G$9992,7,FALSE),""),"Não localizado")</f>
        <v/>
      </c>
      <c r="D310" s="23" t="str">
        <f>_xlfn.IFNA(IF($A310&lt;&gt;"",VLOOKUP($A310,Protocolos!$A$6:$G$9992,6,FALSE),""),"Não localizado")</f>
        <v/>
      </c>
      <c r="E310" s="50"/>
    </row>
    <row r="311" spans="1:5" x14ac:dyDescent="0.25">
      <c r="A311" s="25"/>
      <c r="B311" s="22" t="str">
        <f>_xlfn.IFNA(IF($A311&lt;&gt;"",VLOOKUP($A311,Protocolos!$A$6:$G$9992,2,FALSE),""),"Não localizado")</f>
        <v/>
      </c>
      <c r="C311" s="23" t="str">
        <f>_xlfn.IFNA(IF($A311&lt;&gt;"",VLOOKUP($A311,Protocolos!$A$6:$G$9992,7,FALSE),""),"Não localizado")</f>
        <v/>
      </c>
      <c r="D311" s="23" t="str">
        <f>_xlfn.IFNA(IF($A311&lt;&gt;"",VLOOKUP($A311,Protocolos!$A$6:$G$9992,6,FALSE),""),"Não localizado")</f>
        <v/>
      </c>
      <c r="E311" s="50"/>
    </row>
    <row r="312" spans="1:5" x14ac:dyDescent="0.25">
      <c r="A312" s="25"/>
      <c r="B312" s="22" t="str">
        <f>_xlfn.IFNA(IF($A312&lt;&gt;"",VLOOKUP($A312,Protocolos!$A$6:$G$9992,2,FALSE),""),"Não localizado")</f>
        <v/>
      </c>
      <c r="C312" s="23" t="str">
        <f>_xlfn.IFNA(IF($A312&lt;&gt;"",VLOOKUP($A312,Protocolos!$A$6:$G$9992,7,FALSE),""),"Não localizado")</f>
        <v/>
      </c>
      <c r="D312" s="23" t="str">
        <f>_xlfn.IFNA(IF($A312&lt;&gt;"",VLOOKUP($A312,Protocolos!$A$6:$G$9992,6,FALSE),""),"Não localizado")</f>
        <v/>
      </c>
      <c r="E312" s="50"/>
    </row>
    <row r="313" spans="1:5" x14ac:dyDescent="0.25">
      <c r="A313" s="25"/>
      <c r="B313" s="22" t="str">
        <f>_xlfn.IFNA(IF($A313&lt;&gt;"",VLOOKUP($A313,Protocolos!$A$6:$G$9992,2,FALSE),""),"Não localizado")</f>
        <v/>
      </c>
      <c r="C313" s="23" t="str">
        <f>_xlfn.IFNA(IF($A313&lt;&gt;"",VLOOKUP($A313,Protocolos!$A$6:$G$9992,7,FALSE),""),"Não localizado")</f>
        <v/>
      </c>
      <c r="D313" s="23" t="str">
        <f>_xlfn.IFNA(IF($A313&lt;&gt;"",VLOOKUP($A313,Protocolos!$A$6:$G$9992,6,FALSE),""),"Não localizado")</f>
        <v/>
      </c>
      <c r="E313" s="50"/>
    </row>
    <row r="314" spans="1:5" x14ac:dyDescent="0.25">
      <c r="A314" s="25"/>
      <c r="B314" s="22" t="str">
        <f>_xlfn.IFNA(IF($A314&lt;&gt;"",VLOOKUP($A314,Protocolos!$A$6:$G$9992,2,FALSE),""),"Não localizado")</f>
        <v/>
      </c>
      <c r="C314" s="23" t="str">
        <f>_xlfn.IFNA(IF($A314&lt;&gt;"",VLOOKUP($A314,Protocolos!$A$6:$G$9992,7,FALSE),""),"Não localizado")</f>
        <v/>
      </c>
      <c r="D314" s="23" t="str">
        <f>_xlfn.IFNA(IF($A314&lt;&gt;"",VLOOKUP($A314,Protocolos!$A$6:$G$9992,6,FALSE),""),"Não localizado")</f>
        <v/>
      </c>
      <c r="E314" s="50"/>
    </row>
    <row r="315" spans="1:5" x14ac:dyDescent="0.25">
      <c r="A315" s="25"/>
      <c r="B315" s="22" t="str">
        <f>_xlfn.IFNA(IF($A315&lt;&gt;"",VLOOKUP($A315,Protocolos!$A$6:$G$9992,2,FALSE),""),"Não localizado")</f>
        <v/>
      </c>
      <c r="C315" s="23" t="str">
        <f>_xlfn.IFNA(IF($A315&lt;&gt;"",VLOOKUP($A315,Protocolos!$A$6:$G$9992,7,FALSE),""),"Não localizado")</f>
        <v/>
      </c>
      <c r="D315" s="23" t="str">
        <f>_xlfn.IFNA(IF($A315&lt;&gt;"",VLOOKUP($A315,Protocolos!$A$6:$G$9992,6,FALSE),""),"Não localizado")</f>
        <v/>
      </c>
      <c r="E315" s="50"/>
    </row>
    <row r="316" spans="1:5" x14ac:dyDescent="0.25">
      <c r="A316" s="25"/>
      <c r="B316" s="22" t="str">
        <f>_xlfn.IFNA(IF($A316&lt;&gt;"",VLOOKUP($A316,Protocolos!$A$6:$G$9992,2,FALSE),""),"Não localizado")</f>
        <v/>
      </c>
      <c r="C316" s="23" t="str">
        <f>_xlfn.IFNA(IF($A316&lt;&gt;"",VLOOKUP($A316,Protocolos!$A$6:$G$9992,7,FALSE),""),"Não localizado")</f>
        <v/>
      </c>
      <c r="D316" s="23" t="str">
        <f>_xlfn.IFNA(IF($A316&lt;&gt;"",VLOOKUP($A316,Protocolos!$A$6:$G$9992,6,FALSE),""),"Não localizado")</f>
        <v/>
      </c>
      <c r="E316" s="50"/>
    </row>
    <row r="317" spans="1:5" x14ac:dyDescent="0.25">
      <c r="A317" s="25"/>
      <c r="B317" s="22" t="str">
        <f>_xlfn.IFNA(IF($A317&lt;&gt;"",VLOOKUP($A317,Protocolos!$A$6:$G$9992,2,FALSE),""),"Não localizado")</f>
        <v/>
      </c>
      <c r="C317" s="23" t="str">
        <f>_xlfn.IFNA(IF($A317&lt;&gt;"",VLOOKUP($A317,Protocolos!$A$6:$G$9992,7,FALSE),""),"Não localizado")</f>
        <v/>
      </c>
      <c r="D317" s="23" t="str">
        <f>_xlfn.IFNA(IF($A317&lt;&gt;"",VLOOKUP($A317,Protocolos!$A$6:$G$9992,6,FALSE),""),"Não localizado")</f>
        <v/>
      </c>
      <c r="E317" s="50"/>
    </row>
    <row r="318" spans="1:5" x14ac:dyDescent="0.25">
      <c r="A318" s="25"/>
      <c r="B318" s="22" t="str">
        <f>_xlfn.IFNA(IF($A318&lt;&gt;"",VLOOKUP($A318,Protocolos!$A$6:$G$9992,2,FALSE),""),"Não localizado")</f>
        <v/>
      </c>
      <c r="C318" s="23" t="str">
        <f>_xlfn.IFNA(IF($A318&lt;&gt;"",VLOOKUP($A318,Protocolos!$A$6:$G$9992,7,FALSE),""),"Não localizado")</f>
        <v/>
      </c>
      <c r="D318" s="23" t="str">
        <f>_xlfn.IFNA(IF($A318&lt;&gt;"",VLOOKUP($A318,Protocolos!$A$6:$G$9992,6,FALSE),""),"Não localizado")</f>
        <v/>
      </c>
      <c r="E318" s="50"/>
    </row>
    <row r="319" spans="1:5" x14ac:dyDescent="0.25">
      <c r="A319" s="25"/>
      <c r="B319" s="22" t="str">
        <f>_xlfn.IFNA(IF($A319&lt;&gt;"",VLOOKUP($A319,Protocolos!$A$6:$G$9992,2,FALSE),""),"Não localizado")</f>
        <v/>
      </c>
      <c r="C319" s="23" t="str">
        <f>_xlfn.IFNA(IF($A319&lt;&gt;"",VLOOKUP($A319,Protocolos!$A$6:$G$9992,7,FALSE),""),"Não localizado")</f>
        <v/>
      </c>
      <c r="D319" s="23" t="str">
        <f>_xlfn.IFNA(IF($A319&lt;&gt;"",VLOOKUP($A319,Protocolos!$A$6:$G$9992,6,FALSE),""),"Não localizado")</f>
        <v/>
      </c>
      <c r="E319" s="50"/>
    </row>
    <row r="320" spans="1:5" x14ac:dyDescent="0.25">
      <c r="A320" s="25"/>
      <c r="B320" s="22" t="str">
        <f>_xlfn.IFNA(IF($A320&lt;&gt;"",VLOOKUP($A320,Protocolos!$A$6:$G$9992,2,FALSE),""),"Não localizado")</f>
        <v/>
      </c>
      <c r="C320" s="23" t="str">
        <f>_xlfn.IFNA(IF($A320&lt;&gt;"",VLOOKUP($A320,Protocolos!$A$6:$G$9992,7,FALSE),""),"Não localizado")</f>
        <v/>
      </c>
      <c r="D320" s="23" t="str">
        <f>_xlfn.IFNA(IF($A320&lt;&gt;"",VLOOKUP($A320,Protocolos!$A$6:$G$9992,6,FALSE),""),"Não localizado")</f>
        <v/>
      </c>
      <c r="E320" s="50"/>
    </row>
    <row r="321" spans="1:5" x14ac:dyDescent="0.25">
      <c r="A321" s="25"/>
      <c r="B321" s="22" t="str">
        <f>_xlfn.IFNA(IF($A321&lt;&gt;"",VLOOKUP($A321,Protocolos!$A$6:$G$9992,2,FALSE),""),"Não localizado")</f>
        <v/>
      </c>
      <c r="C321" s="23" t="str">
        <f>_xlfn.IFNA(IF($A321&lt;&gt;"",VLOOKUP($A321,Protocolos!$A$6:$G$9992,7,FALSE),""),"Não localizado")</f>
        <v/>
      </c>
      <c r="D321" s="23" t="str">
        <f>_xlfn.IFNA(IF($A321&lt;&gt;"",VLOOKUP($A321,Protocolos!$A$6:$G$9992,6,FALSE),""),"Não localizado")</f>
        <v/>
      </c>
      <c r="E321" s="50"/>
    </row>
    <row r="322" spans="1:5" x14ac:dyDescent="0.25">
      <c r="A322" s="25"/>
      <c r="B322" s="22" t="str">
        <f>_xlfn.IFNA(IF($A322&lt;&gt;"",VLOOKUP($A322,Protocolos!$A$6:$G$9992,2,FALSE),""),"Não localizado")</f>
        <v/>
      </c>
      <c r="C322" s="23" t="str">
        <f>_xlfn.IFNA(IF($A322&lt;&gt;"",VLOOKUP($A322,Protocolos!$A$6:$G$9992,7,FALSE),""),"Não localizado")</f>
        <v/>
      </c>
      <c r="D322" s="23" t="str">
        <f>_xlfn.IFNA(IF($A322&lt;&gt;"",VLOOKUP($A322,Protocolos!$A$6:$G$9992,6,FALSE),""),"Não localizado")</f>
        <v/>
      </c>
      <c r="E322" s="50"/>
    </row>
    <row r="323" spans="1:5" x14ac:dyDescent="0.25">
      <c r="A323" s="25"/>
      <c r="B323" s="22" t="str">
        <f>_xlfn.IFNA(IF($A323&lt;&gt;"",VLOOKUP($A323,Protocolos!$A$6:$G$9992,2,FALSE),""),"Não localizado")</f>
        <v/>
      </c>
      <c r="C323" s="23" t="str">
        <f>_xlfn.IFNA(IF($A323&lt;&gt;"",VLOOKUP($A323,Protocolos!$A$6:$G$9992,7,FALSE),""),"Não localizado")</f>
        <v/>
      </c>
      <c r="D323" s="23" t="str">
        <f>_xlfn.IFNA(IF($A323&lt;&gt;"",VLOOKUP($A323,Protocolos!$A$6:$G$9992,6,FALSE),""),"Não localizado")</f>
        <v/>
      </c>
      <c r="E323" s="50"/>
    </row>
    <row r="324" spans="1:5" x14ac:dyDescent="0.25">
      <c r="A324" s="25"/>
      <c r="B324" s="22" t="str">
        <f>_xlfn.IFNA(IF($A324&lt;&gt;"",VLOOKUP($A324,Protocolos!$A$6:$G$9992,2,FALSE),""),"Não localizado")</f>
        <v/>
      </c>
      <c r="C324" s="23" t="str">
        <f>_xlfn.IFNA(IF($A324&lt;&gt;"",VLOOKUP($A324,Protocolos!$A$6:$G$9992,7,FALSE),""),"Não localizado")</f>
        <v/>
      </c>
      <c r="D324" s="23" t="str">
        <f>_xlfn.IFNA(IF($A324&lt;&gt;"",VLOOKUP($A324,Protocolos!$A$6:$G$9992,6,FALSE),""),"Não localizado")</f>
        <v/>
      </c>
      <c r="E324" s="50"/>
    </row>
    <row r="325" spans="1:5" x14ac:dyDescent="0.25">
      <c r="A325" s="25"/>
      <c r="B325" s="22" t="str">
        <f>_xlfn.IFNA(IF($A325&lt;&gt;"",VLOOKUP($A325,Protocolos!$A$6:$G$9992,2,FALSE),""),"Não localizado")</f>
        <v/>
      </c>
      <c r="C325" s="23" t="str">
        <f>_xlfn.IFNA(IF($A325&lt;&gt;"",VLOOKUP($A325,Protocolos!$A$6:$G$9992,7,FALSE),""),"Não localizado")</f>
        <v/>
      </c>
      <c r="D325" s="23" t="str">
        <f>_xlfn.IFNA(IF($A325&lt;&gt;"",VLOOKUP($A325,Protocolos!$A$6:$G$9992,6,FALSE),""),"Não localizado")</f>
        <v/>
      </c>
      <c r="E325" s="50"/>
    </row>
    <row r="326" spans="1:5" x14ac:dyDescent="0.25">
      <c r="A326" s="25"/>
      <c r="B326" s="22" t="str">
        <f>_xlfn.IFNA(IF($A326&lt;&gt;"",VLOOKUP($A326,Protocolos!$A$6:$G$9992,2,FALSE),""),"Não localizado")</f>
        <v/>
      </c>
      <c r="C326" s="23" t="str">
        <f>_xlfn.IFNA(IF($A326&lt;&gt;"",VLOOKUP($A326,Protocolos!$A$6:$G$9992,7,FALSE),""),"Não localizado")</f>
        <v/>
      </c>
      <c r="D326" s="23" t="str">
        <f>_xlfn.IFNA(IF($A326&lt;&gt;"",VLOOKUP($A326,Protocolos!$A$6:$G$9992,6,FALSE),""),"Não localizado")</f>
        <v/>
      </c>
      <c r="E326" s="50"/>
    </row>
    <row r="327" spans="1:5" x14ac:dyDescent="0.25">
      <c r="A327" s="25"/>
      <c r="B327" s="22" t="str">
        <f>_xlfn.IFNA(IF($A327&lt;&gt;"",VLOOKUP($A327,Protocolos!$A$6:$G$9992,2,FALSE),""),"Não localizado")</f>
        <v/>
      </c>
      <c r="C327" s="23" t="str">
        <f>_xlfn.IFNA(IF($A327&lt;&gt;"",VLOOKUP($A327,Protocolos!$A$6:$G$9992,7,FALSE),""),"Não localizado")</f>
        <v/>
      </c>
      <c r="D327" s="23" t="str">
        <f>_xlfn.IFNA(IF($A327&lt;&gt;"",VLOOKUP($A327,Protocolos!$A$6:$G$9992,6,FALSE),""),"Não localizado")</f>
        <v/>
      </c>
      <c r="E327" s="50"/>
    </row>
    <row r="328" spans="1:5" x14ac:dyDescent="0.25">
      <c r="A328" s="25"/>
      <c r="B328" s="22" t="str">
        <f>_xlfn.IFNA(IF($A328&lt;&gt;"",VLOOKUP($A328,Protocolos!$A$6:$G$9992,2,FALSE),""),"Não localizado")</f>
        <v/>
      </c>
      <c r="C328" s="23" t="str">
        <f>_xlfn.IFNA(IF($A328&lt;&gt;"",VLOOKUP($A328,Protocolos!$A$6:$G$9992,7,FALSE),""),"Não localizado")</f>
        <v/>
      </c>
      <c r="D328" s="23" t="str">
        <f>_xlfn.IFNA(IF($A328&lt;&gt;"",VLOOKUP($A328,Protocolos!$A$6:$G$9992,6,FALSE),""),"Não localizado")</f>
        <v/>
      </c>
      <c r="E328" s="50"/>
    </row>
    <row r="329" spans="1:5" x14ac:dyDescent="0.25">
      <c r="A329" s="25"/>
      <c r="B329" s="22" t="str">
        <f>_xlfn.IFNA(IF($A329&lt;&gt;"",VLOOKUP($A329,Protocolos!$A$6:$G$9992,2,FALSE),""),"Não localizado")</f>
        <v/>
      </c>
      <c r="C329" s="23" t="str">
        <f>_xlfn.IFNA(IF($A329&lt;&gt;"",VLOOKUP($A329,Protocolos!$A$6:$G$9992,7,FALSE),""),"Não localizado")</f>
        <v/>
      </c>
      <c r="D329" s="23" t="str">
        <f>_xlfn.IFNA(IF($A329&lt;&gt;"",VLOOKUP($A329,Protocolos!$A$6:$G$9992,6,FALSE),""),"Não localizado")</f>
        <v/>
      </c>
      <c r="E329" s="50"/>
    </row>
    <row r="330" spans="1:5" x14ac:dyDescent="0.25">
      <c r="A330" s="25"/>
      <c r="B330" s="22" t="str">
        <f>_xlfn.IFNA(IF($A330&lt;&gt;"",VLOOKUP($A330,Protocolos!$A$6:$G$9992,2,FALSE),""),"Não localizado")</f>
        <v/>
      </c>
      <c r="C330" s="23" t="str">
        <f>_xlfn.IFNA(IF($A330&lt;&gt;"",VLOOKUP($A330,Protocolos!$A$6:$G$9992,7,FALSE),""),"Não localizado")</f>
        <v/>
      </c>
      <c r="D330" s="23" t="str">
        <f>_xlfn.IFNA(IF($A330&lt;&gt;"",VLOOKUP($A330,Protocolos!$A$6:$G$9992,6,FALSE),""),"Não localizado")</f>
        <v/>
      </c>
      <c r="E330" s="50"/>
    </row>
    <row r="331" spans="1:5" x14ac:dyDescent="0.25">
      <c r="A331" s="25"/>
      <c r="B331" s="22" t="str">
        <f>_xlfn.IFNA(IF($A331&lt;&gt;"",VLOOKUP($A331,Protocolos!$A$6:$G$9992,2,FALSE),""),"Não localizado")</f>
        <v/>
      </c>
      <c r="C331" s="23" t="str">
        <f>_xlfn.IFNA(IF($A331&lt;&gt;"",VLOOKUP($A331,Protocolos!$A$6:$G$9992,7,FALSE),""),"Não localizado")</f>
        <v/>
      </c>
      <c r="D331" s="23" t="str">
        <f>_xlfn.IFNA(IF($A331&lt;&gt;"",VLOOKUP($A331,Protocolos!$A$6:$G$9992,6,FALSE),""),"Não localizado")</f>
        <v/>
      </c>
      <c r="E331" s="50"/>
    </row>
    <row r="332" spans="1:5" x14ac:dyDescent="0.25">
      <c r="A332" s="25"/>
      <c r="B332" s="22" t="str">
        <f>_xlfn.IFNA(IF($A332&lt;&gt;"",VLOOKUP($A332,Protocolos!$A$6:$G$9992,2,FALSE),""),"Não localizado")</f>
        <v/>
      </c>
      <c r="C332" s="23" t="str">
        <f>_xlfn.IFNA(IF($A332&lt;&gt;"",VLOOKUP($A332,Protocolos!$A$6:$G$9992,7,FALSE),""),"Não localizado")</f>
        <v/>
      </c>
      <c r="D332" s="23" t="str">
        <f>_xlfn.IFNA(IF($A332&lt;&gt;"",VLOOKUP($A332,Protocolos!$A$6:$G$9992,6,FALSE),""),"Não localizado")</f>
        <v/>
      </c>
      <c r="E332" s="50"/>
    </row>
    <row r="333" spans="1:5" x14ac:dyDescent="0.25">
      <c r="A333" s="25"/>
      <c r="B333" s="22" t="str">
        <f>_xlfn.IFNA(IF($A333&lt;&gt;"",VLOOKUP($A333,Protocolos!$A$6:$G$9992,2,FALSE),""),"Não localizado")</f>
        <v/>
      </c>
      <c r="C333" s="23" t="str">
        <f>_xlfn.IFNA(IF($A333&lt;&gt;"",VLOOKUP($A333,Protocolos!$A$6:$G$9992,7,FALSE),""),"Não localizado")</f>
        <v/>
      </c>
      <c r="D333" s="23" t="str">
        <f>_xlfn.IFNA(IF($A333&lt;&gt;"",VLOOKUP($A333,Protocolos!$A$6:$G$9992,6,FALSE),""),"Não localizado")</f>
        <v/>
      </c>
      <c r="E333" s="50"/>
    </row>
    <row r="334" spans="1:5" x14ac:dyDescent="0.25">
      <c r="A334" s="25"/>
      <c r="B334" s="22" t="str">
        <f>_xlfn.IFNA(IF($A334&lt;&gt;"",VLOOKUP($A334,Protocolos!$A$6:$G$9992,2,FALSE),""),"Não localizado")</f>
        <v/>
      </c>
      <c r="C334" s="23" t="str">
        <f>_xlfn.IFNA(IF($A334&lt;&gt;"",VLOOKUP($A334,Protocolos!$A$6:$G$9992,7,FALSE),""),"Não localizado")</f>
        <v/>
      </c>
      <c r="D334" s="23" t="str">
        <f>_xlfn.IFNA(IF($A334&lt;&gt;"",VLOOKUP($A334,Protocolos!$A$6:$G$9992,6,FALSE),""),"Não localizado")</f>
        <v/>
      </c>
      <c r="E334" s="50"/>
    </row>
    <row r="335" spans="1:5" x14ac:dyDescent="0.25">
      <c r="A335" s="25"/>
      <c r="B335" s="22" t="str">
        <f>_xlfn.IFNA(IF($A335&lt;&gt;"",VLOOKUP($A335,Protocolos!$A$6:$G$9992,2,FALSE),""),"Não localizado")</f>
        <v/>
      </c>
      <c r="C335" s="23" t="str">
        <f>_xlfn.IFNA(IF($A335&lt;&gt;"",VLOOKUP($A335,Protocolos!$A$6:$G$9992,7,FALSE),""),"Não localizado")</f>
        <v/>
      </c>
      <c r="D335" s="23" t="str">
        <f>_xlfn.IFNA(IF($A335&lt;&gt;"",VLOOKUP($A335,Protocolos!$A$6:$G$9992,6,FALSE),""),"Não localizado")</f>
        <v/>
      </c>
      <c r="E335" s="50"/>
    </row>
    <row r="336" spans="1:5" x14ac:dyDescent="0.25">
      <c r="A336" s="25"/>
      <c r="B336" s="22" t="str">
        <f>_xlfn.IFNA(IF($A336&lt;&gt;"",VLOOKUP($A336,Protocolos!$A$6:$G$9992,2,FALSE),""),"Não localizado")</f>
        <v/>
      </c>
      <c r="C336" s="23" t="str">
        <f>_xlfn.IFNA(IF($A336&lt;&gt;"",VLOOKUP($A336,Protocolos!$A$6:$G$9992,7,FALSE),""),"Não localizado")</f>
        <v/>
      </c>
      <c r="D336" s="23" t="str">
        <f>_xlfn.IFNA(IF($A336&lt;&gt;"",VLOOKUP($A336,Protocolos!$A$6:$G$9992,6,FALSE),""),"Não localizado")</f>
        <v/>
      </c>
      <c r="E336" s="50"/>
    </row>
    <row r="337" spans="1:5" x14ac:dyDescent="0.25">
      <c r="A337" s="25"/>
      <c r="B337" s="22" t="str">
        <f>_xlfn.IFNA(IF($A337&lt;&gt;"",VLOOKUP($A337,Protocolos!$A$6:$G$9992,2,FALSE),""),"Não localizado")</f>
        <v/>
      </c>
      <c r="C337" s="23" t="str">
        <f>_xlfn.IFNA(IF($A337&lt;&gt;"",VLOOKUP($A337,Protocolos!$A$6:$G$9992,7,FALSE),""),"Não localizado")</f>
        <v/>
      </c>
      <c r="D337" s="23" t="str">
        <f>_xlfn.IFNA(IF($A337&lt;&gt;"",VLOOKUP($A337,Protocolos!$A$6:$G$9992,6,FALSE),""),"Não localizado")</f>
        <v/>
      </c>
      <c r="E337" s="50"/>
    </row>
    <row r="338" spans="1:5" x14ac:dyDescent="0.25">
      <c r="A338" s="25"/>
      <c r="B338" s="22" t="str">
        <f>_xlfn.IFNA(IF($A338&lt;&gt;"",VLOOKUP($A338,Protocolos!$A$6:$G$9992,2,FALSE),""),"Não localizado")</f>
        <v/>
      </c>
      <c r="C338" s="23" t="str">
        <f>_xlfn.IFNA(IF($A338&lt;&gt;"",VLOOKUP($A338,Protocolos!$A$6:$G$9992,7,FALSE),""),"Não localizado")</f>
        <v/>
      </c>
      <c r="D338" s="23" t="str">
        <f>_xlfn.IFNA(IF($A338&lt;&gt;"",VLOOKUP($A338,Protocolos!$A$6:$G$9992,6,FALSE),""),"Não localizado")</f>
        <v/>
      </c>
      <c r="E338" s="50"/>
    </row>
    <row r="339" spans="1:5" x14ac:dyDescent="0.25">
      <c r="A339" s="25"/>
      <c r="B339" s="22" t="str">
        <f>_xlfn.IFNA(IF($A339&lt;&gt;"",VLOOKUP($A339,Protocolos!$A$6:$G$9992,2,FALSE),""),"Não localizado")</f>
        <v/>
      </c>
      <c r="C339" s="23" t="str">
        <f>_xlfn.IFNA(IF($A339&lt;&gt;"",VLOOKUP($A339,Protocolos!$A$6:$G$9992,7,FALSE),""),"Não localizado")</f>
        <v/>
      </c>
      <c r="D339" s="23" t="str">
        <f>_xlfn.IFNA(IF($A339&lt;&gt;"",VLOOKUP($A339,Protocolos!$A$6:$G$9992,6,FALSE),""),"Não localizado")</f>
        <v/>
      </c>
      <c r="E339" s="50"/>
    </row>
    <row r="340" spans="1:5" x14ac:dyDescent="0.25">
      <c r="A340" s="25"/>
      <c r="B340" s="22" t="str">
        <f>_xlfn.IFNA(IF($A340&lt;&gt;"",VLOOKUP($A340,Protocolos!$A$6:$G$9992,2,FALSE),""),"Não localizado")</f>
        <v/>
      </c>
      <c r="C340" s="23" t="str">
        <f>_xlfn.IFNA(IF($A340&lt;&gt;"",VLOOKUP($A340,Protocolos!$A$6:$G$9992,7,FALSE),""),"Não localizado")</f>
        <v/>
      </c>
      <c r="D340" s="23" t="str">
        <f>_xlfn.IFNA(IF($A340&lt;&gt;"",VLOOKUP($A340,Protocolos!$A$6:$G$9992,6,FALSE),""),"Não localizado")</f>
        <v/>
      </c>
      <c r="E340" s="50"/>
    </row>
    <row r="341" spans="1:5" x14ac:dyDescent="0.25">
      <c r="A341" s="25"/>
      <c r="B341" s="22" t="str">
        <f>_xlfn.IFNA(IF($A341&lt;&gt;"",VLOOKUP($A341,Protocolos!$A$6:$G$9992,2,FALSE),""),"Não localizado")</f>
        <v/>
      </c>
      <c r="C341" s="23" t="str">
        <f>_xlfn.IFNA(IF($A341&lt;&gt;"",VLOOKUP($A341,Protocolos!$A$6:$G$9992,7,FALSE),""),"Não localizado")</f>
        <v/>
      </c>
      <c r="D341" s="23" t="str">
        <f>_xlfn.IFNA(IF($A341&lt;&gt;"",VLOOKUP($A341,Protocolos!$A$6:$G$9992,6,FALSE),""),"Não localizado")</f>
        <v/>
      </c>
      <c r="E341" s="50"/>
    </row>
    <row r="342" spans="1:5" x14ac:dyDescent="0.25">
      <c r="A342" s="25"/>
      <c r="B342" s="22" t="str">
        <f>_xlfn.IFNA(IF($A342&lt;&gt;"",VLOOKUP($A342,Protocolos!$A$6:$G$9992,2,FALSE),""),"Não localizado")</f>
        <v/>
      </c>
      <c r="C342" s="23" t="str">
        <f>_xlfn.IFNA(IF($A342&lt;&gt;"",VLOOKUP($A342,Protocolos!$A$6:$G$9992,7,FALSE),""),"Não localizado")</f>
        <v/>
      </c>
      <c r="D342" s="23" t="str">
        <f>_xlfn.IFNA(IF($A342&lt;&gt;"",VLOOKUP($A342,Protocolos!$A$6:$G$9992,6,FALSE),""),"Não localizado")</f>
        <v/>
      </c>
      <c r="E342" s="50"/>
    </row>
    <row r="343" spans="1:5" x14ac:dyDescent="0.25">
      <c r="A343" s="25"/>
      <c r="B343" s="22" t="str">
        <f>_xlfn.IFNA(IF($A343&lt;&gt;"",VLOOKUP($A343,Protocolos!$A$6:$G$9992,2,FALSE),""),"Não localizado")</f>
        <v/>
      </c>
      <c r="C343" s="23" t="str">
        <f>_xlfn.IFNA(IF($A343&lt;&gt;"",VLOOKUP($A343,Protocolos!$A$6:$G$9992,7,FALSE),""),"Não localizado")</f>
        <v/>
      </c>
      <c r="D343" s="23" t="str">
        <f>_xlfn.IFNA(IF($A343&lt;&gt;"",VLOOKUP($A343,Protocolos!$A$6:$G$9992,6,FALSE),""),"Não localizado")</f>
        <v/>
      </c>
      <c r="E343" s="50"/>
    </row>
    <row r="344" spans="1:5" x14ac:dyDescent="0.25">
      <c r="A344" s="25"/>
      <c r="B344" s="22" t="str">
        <f>_xlfn.IFNA(IF($A344&lt;&gt;"",VLOOKUP($A344,Protocolos!$A$6:$G$9992,2,FALSE),""),"Não localizado")</f>
        <v/>
      </c>
      <c r="C344" s="23" t="str">
        <f>_xlfn.IFNA(IF($A344&lt;&gt;"",VLOOKUP($A344,Protocolos!$A$6:$G$9992,7,FALSE),""),"Não localizado")</f>
        <v/>
      </c>
      <c r="D344" s="23" t="str">
        <f>_xlfn.IFNA(IF($A344&lt;&gt;"",VLOOKUP($A344,Protocolos!$A$6:$G$9992,6,FALSE),""),"Não localizado")</f>
        <v/>
      </c>
      <c r="E344" s="50"/>
    </row>
    <row r="345" spans="1:5" x14ac:dyDescent="0.25">
      <c r="A345" s="25"/>
      <c r="B345" s="22" t="str">
        <f>_xlfn.IFNA(IF($A345&lt;&gt;"",VLOOKUP($A345,Protocolos!$A$6:$G$9992,2,FALSE),""),"Não localizado")</f>
        <v/>
      </c>
      <c r="C345" s="23" t="str">
        <f>_xlfn.IFNA(IF($A345&lt;&gt;"",VLOOKUP($A345,Protocolos!$A$6:$G$9992,7,FALSE),""),"Não localizado")</f>
        <v/>
      </c>
      <c r="D345" s="23" t="str">
        <f>_xlfn.IFNA(IF($A345&lt;&gt;"",VLOOKUP($A345,Protocolos!$A$6:$G$9992,6,FALSE),""),"Não localizado")</f>
        <v/>
      </c>
      <c r="E345" s="50"/>
    </row>
    <row r="346" spans="1:5" x14ac:dyDescent="0.25">
      <c r="A346" s="25"/>
      <c r="B346" s="22" t="str">
        <f>_xlfn.IFNA(IF($A346&lt;&gt;"",VLOOKUP($A346,Protocolos!$A$6:$G$9992,2,FALSE),""),"Não localizado")</f>
        <v/>
      </c>
      <c r="C346" s="23" t="str">
        <f>_xlfn.IFNA(IF($A346&lt;&gt;"",VLOOKUP($A346,Protocolos!$A$6:$G$9992,7,FALSE),""),"Não localizado")</f>
        <v/>
      </c>
      <c r="D346" s="23" t="str">
        <f>_xlfn.IFNA(IF($A346&lt;&gt;"",VLOOKUP($A346,Protocolos!$A$6:$G$9992,6,FALSE),""),"Não localizado")</f>
        <v/>
      </c>
      <c r="E346" s="50"/>
    </row>
    <row r="347" spans="1:5" x14ac:dyDescent="0.25">
      <c r="A347" s="25"/>
      <c r="B347" s="22" t="str">
        <f>_xlfn.IFNA(IF($A347&lt;&gt;"",VLOOKUP($A347,Protocolos!$A$6:$G$9992,2,FALSE),""),"Não localizado")</f>
        <v/>
      </c>
      <c r="C347" s="23" t="str">
        <f>_xlfn.IFNA(IF($A347&lt;&gt;"",VLOOKUP($A347,Protocolos!$A$6:$G$9992,7,FALSE),""),"Não localizado")</f>
        <v/>
      </c>
      <c r="D347" s="23" t="str">
        <f>_xlfn.IFNA(IF($A347&lt;&gt;"",VLOOKUP($A347,Protocolos!$A$6:$G$9992,6,FALSE),""),"Não localizado")</f>
        <v/>
      </c>
      <c r="E347" s="50"/>
    </row>
    <row r="348" spans="1:5" x14ac:dyDescent="0.25">
      <c r="A348" s="25"/>
      <c r="B348" s="22" t="str">
        <f>_xlfn.IFNA(IF($A348&lt;&gt;"",VLOOKUP($A348,Protocolos!$A$6:$G$9992,2,FALSE),""),"Não localizado")</f>
        <v/>
      </c>
      <c r="C348" s="23" t="str">
        <f>_xlfn.IFNA(IF($A348&lt;&gt;"",VLOOKUP($A348,Protocolos!$A$6:$G$9992,7,FALSE),""),"Não localizado")</f>
        <v/>
      </c>
      <c r="D348" s="23" t="str">
        <f>_xlfn.IFNA(IF($A348&lt;&gt;"",VLOOKUP($A348,Protocolos!$A$6:$G$9992,6,FALSE),""),"Não localizado")</f>
        <v/>
      </c>
      <c r="E348" s="50"/>
    </row>
    <row r="349" spans="1:5" x14ac:dyDescent="0.25">
      <c r="A349" s="25"/>
      <c r="B349" s="22" t="str">
        <f>_xlfn.IFNA(IF($A349&lt;&gt;"",VLOOKUP($A349,Protocolos!$A$6:$G$9992,2,FALSE),""),"Não localizado")</f>
        <v/>
      </c>
      <c r="C349" s="23" t="str">
        <f>_xlfn.IFNA(IF($A349&lt;&gt;"",VLOOKUP($A349,Protocolos!$A$6:$G$9992,7,FALSE),""),"Não localizado")</f>
        <v/>
      </c>
      <c r="D349" s="23" t="str">
        <f>_xlfn.IFNA(IF($A349&lt;&gt;"",VLOOKUP($A349,Protocolos!$A$6:$G$9992,6,FALSE),""),"Não localizado")</f>
        <v/>
      </c>
      <c r="E349" s="50"/>
    </row>
    <row r="350" spans="1:5" x14ac:dyDescent="0.25">
      <c r="A350" s="25"/>
      <c r="B350" s="22" t="str">
        <f>_xlfn.IFNA(IF($A350&lt;&gt;"",VLOOKUP($A350,Protocolos!$A$6:$G$9992,2,FALSE),""),"Não localizado")</f>
        <v/>
      </c>
      <c r="C350" s="23" t="str">
        <f>_xlfn.IFNA(IF($A350&lt;&gt;"",VLOOKUP($A350,Protocolos!$A$6:$G$9992,7,FALSE),""),"Não localizado")</f>
        <v/>
      </c>
      <c r="D350" s="23" t="str">
        <f>_xlfn.IFNA(IF($A350&lt;&gt;"",VLOOKUP($A350,Protocolos!$A$6:$G$9992,6,FALSE),""),"Não localizado")</f>
        <v/>
      </c>
      <c r="E350" s="50"/>
    </row>
    <row r="351" spans="1:5" x14ac:dyDescent="0.25">
      <c r="A351" s="25"/>
      <c r="B351" s="22" t="str">
        <f>_xlfn.IFNA(IF($A351&lt;&gt;"",VLOOKUP($A351,Protocolos!$A$6:$G$9992,2,FALSE),""),"Não localizado")</f>
        <v/>
      </c>
      <c r="C351" s="23" t="str">
        <f>_xlfn.IFNA(IF($A351&lt;&gt;"",VLOOKUP($A351,Protocolos!$A$6:$G$9992,7,FALSE),""),"Não localizado")</f>
        <v/>
      </c>
      <c r="D351" s="23" t="str">
        <f>_xlfn.IFNA(IF($A351&lt;&gt;"",VLOOKUP($A351,Protocolos!$A$6:$G$9992,6,FALSE),""),"Não localizado")</f>
        <v/>
      </c>
      <c r="E351" s="50"/>
    </row>
    <row r="352" spans="1:5" x14ac:dyDescent="0.25">
      <c r="A352" s="25"/>
      <c r="B352" s="22" t="str">
        <f>_xlfn.IFNA(IF($A352&lt;&gt;"",VLOOKUP($A352,Protocolos!$A$6:$G$9992,2,FALSE),""),"Não localizado")</f>
        <v/>
      </c>
      <c r="C352" s="23" t="str">
        <f>_xlfn.IFNA(IF($A352&lt;&gt;"",VLOOKUP($A352,Protocolos!$A$6:$G$9992,7,FALSE),""),"Não localizado")</f>
        <v/>
      </c>
      <c r="D352" s="23" t="str">
        <f>_xlfn.IFNA(IF($A352&lt;&gt;"",VLOOKUP($A352,Protocolos!$A$6:$G$9992,6,FALSE),""),"Não localizado")</f>
        <v/>
      </c>
      <c r="E352" s="50"/>
    </row>
    <row r="353" spans="1:5" x14ac:dyDescent="0.25">
      <c r="A353" s="25"/>
      <c r="B353" s="22" t="str">
        <f>_xlfn.IFNA(IF($A353&lt;&gt;"",VLOOKUP($A353,Protocolos!$A$6:$G$9992,2,FALSE),""),"Não localizado")</f>
        <v/>
      </c>
      <c r="C353" s="23" t="str">
        <f>_xlfn.IFNA(IF($A353&lt;&gt;"",VLOOKUP($A353,Protocolos!$A$6:$G$9992,7,FALSE),""),"Não localizado")</f>
        <v/>
      </c>
      <c r="D353" s="23" t="str">
        <f>_xlfn.IFNA(IF($A353&lt;&gt;"",VLOOKUP($A353,Protocolos!$A$6:$G$9992,6,FALSE),""),"Não localizado")</f>
        <v/>
      </c>
      <c r="E353" s="50"/>
    </row>
    <row r="354" spans="1:5" x14ac:dyDescent="0.25">
      <c r="A354" s="25"/>
      <c r="B354" s="22" t="str">
        <f>_xlfn.IFNA(IF($A354&lt;&gt;"",VLOOKUP($A354,Protocolos!$A$6:$G$9992,2,FALSE),""),"Não localizado")</f>
        <v/>
      </c>
      <c r="C354" s="23" t="str">
        <f>_xlfn.IFNA(IF($A354&lt;&gt;"",VLOOKUP($A354,Protocolos!$A$6:$G$9992,7,FALSE),""),"Não localizado")</f>
        <v/>
      </c>
      <c r="D354" s="23" t="str">
        <f>_xlfn.IFNA(IF($A354&lt;&gt;"",VLOOKUP($A354,Protocolos!$A$6:$G$9992,6,FALSE),""),"Não localizado")</f>
        <v/>
      </c>
      <c r="E354" s="50"/>
    </row>
    <row r="355" spans="1:5" x14ac:dyDescent="0.25">
      <c r="A355" s="25"/>
      <c r="B355" s="22" t="str">
        <f>_xlfn.IFNA(IF($A355&lt;&gt;"",VLOOKUP($A355,Protocolos!$A$6:$G$9992,2,FALSE),""),"Não localizado")</f>
        <v/>
      </c>
      <c r="C355" s="23" t="str">
        <f>_xlfn.IFNA(IF($A355&lt;&gt;"",VLOOKUP($A355,Protocolos!$A$6:$G$9992,7,FALSE),""),"Não localizado")</f>
        <v/>
      </c>
      <c r="D355" s="23" t="str">
        <f>_xlfn.IFNA(IF($A355&lt;&gt;"",VLOOKUP($A355,Protocolos!$A$6:$G$9992,6,FALSE),""),"Não localizado")</f>
        <v/>
      </c>
      <c r="E355" s="50"/>
    </row>
    <row r="356" spans="1:5" x14ac:dyDescent="0.25">
      <c r="A356" s="25"/>
      <c r="B356" s="22" t="str">
        <f>_xlfn.IFNA(IF($A356&lt;&gt;"",VLOOKUP($A356,Protocolos!$A$6:$G$9992,2,FALSE),""),"Não localizado")</f>
        <v/>
      </c>
      <c r="C356" s="23" t="str">
        <f>_xlfn.IFNA(IF($A356&lt;&gt;"",VLOOKUP($A356,Protocolos!$A$6:$G$9992,7,FALSE),""),"Não localizado")</f>
        <v/>
      </c>
      <c r="D356" s="23" t="str">
        <f>_xlfn.IFNA(IF($A356&lt;&gt;"",VLOOKUP($A356,Protocolos!$A$6:$G$9992,6,FALSE),""),"Não localizado")</f>
        <v/>
      </c>
      <c r="E356" s="50"/>
    </row>
    <row r="357" spans="1:5" x14ac:dyDescent="0.25">
      <c r="A357" s="25"/>
      <c r="B357" s="22" t="str">
        <f>_xlfn.IFNA(IF($A357&lt;&gt;"",VLOOKUP($A357,Protocolos!$A$6:$G$9992,2,FALSE),""),"Não localizado")</f>
        <v/>
      </c>
      <c r="C357" s="23" t="str">
        <f>_xlfn.IFNA(IF($A357&lt;&gt;"",VLOOKUP($A357,Protocolos!$A$6:$G$9992,7,FALSE),""),"Não localizado")</f>
        <v/>
      </c>
      <c r="D357" s="23" t="str">
        <f>_xlfn.IFNA(IF($A357&lt;&gt;"",VLOOKUP($A357,Protocolos!$A$6:$G$9992,6,FALSE),""),"Não localizado")</f>
        <v/>
      </c>
      <c r="E357" s="50"/>
    </row>
    <row r="358" spans="1:5" x14ac:dyDescent="0.25">
      <c r="A358" s="25"/>
      <c r="B358" s="22" t="str">
        <f>_xlfn.IFNA(IF($A358&lt;&gt;"",VLOOKUP($A358,Protocolos!$A$6:$G$9992,2,FALSE),""),"Não localizado")</f>
        <v/>
      </c>
      <c r="C358" s="23" t="str">
        <f>_xlfn.IFNA(IF($A358&lt;&gt;"",VLOOKUP($A358,Protocolos!$A$6:$G$9992,7,FALSE),""),"Não localizado")</f>
        <v/>
      </c>
      <c r="D358" s="23" t="str">
        <f>_xlfn.IFNA(IF($A358&lt;&gt;"",VLOOKUP($A358,Protocolos!$A$6:$G$9992,6,FALSE),""),"Não localizado")</f>
        <v/>
      </c>
      <c r="E358" s="50"/>
    </row>
    <row r="359" spans="1:5" x14ac:dyDescent="0.25">
      <c r="A359" s="25"/>
      <c r="B359" s="22" t="str">
        <f>_xlfn.IFNA(IF($A359&lt;&gt;"",VLOOKUP($A359,Protocolos!$A$6:$G$9992,2,FALSE),""),"Não localizado")</f>
        <v/>
      </c>
      <c r="C359" s="23" t="str">
        <f>_xlfn.IFNA(IF($A359&lt;&gt;"",VLOOKUP($A359,Protocolos!$A$6:$G$9992,7,FALSE),""),"Não localizado")</f>
        <v/>
      </c>
      <c r="D359" s="23" t="str">
        <f>_xlfn.IFNA(IF($A359&lt;&gt;"",VLOOKUP($A359,Protocolos!$A$6:$G$9992,6,FALSE),""),"Não localizado")</f>
        <v/>
      </c>
      <c r="E359" s="50"/>
    </row>
    <row r="360" spans="1:5" x14ac:dyDescent="0.25">
      <c r="A360" s="25"/>
      <c r="B360" s="22" t="str">
        <f>_xlfn.IFNA(IF($A360&lt;&gt;"",VLOOKUP($A360,Protocolos!$A$6:$G$9992,2,FALSE),""),"Não localizado")</f>
        <v/>
      </c>
      <c r="C360" s="23" t="str">
        <f>_xlfn.IFNA(IF($A360&lt;&gt;"",VLOOKUP($A360,Protocolos!$A$6:$G$9992,7,FALSE),""),"Não localizado")</f>
        <v/>
      </c>
      <c r="D360" s="23" t="str">
        <f>_xlfn.IFNA(IF($A360&lt;&gt;"",VLOOKUP($A360,Protocolos!$A$6:$G$9992,6,FALSE),""),"Não localizado")</f>
        <v/>
      </c>
      <c r="E360" s="50"/>
    </row>
    <row r="361" spans="1:5" x14ac:dyDescent="0.25">
      <c r="A361" s="25"/>
      <c r="B361" s="22" t="str">
        <f>_xlfn.IFNA(IF($A361&lt;&gt;"",VLOOKUP($A361,Protocolos!$A$6:$G$9992,2,FALSE),""),"Não localizado")</f>
        <v/>
      </c>
      <c r="C361" s="23" t="str">
        <f>_xlfn.IFNA(IF($A361&lt;&gt;"",VLOOKUP($A361,Protocolos!$A$6:$G$9992,7,FALSE),""),"Não localizado")</f>
        <v/>
      </c>
      <c r="D361" s="23" t="str">
        <f>_xlfn.IFNA(IF($A361&lt;&gt;"",VLOOKUP($A361,Protocolos!$A$6:$G$9992,6,FALSE),""),"Não localizado")</f>
        <v/>
      </c>
      <c r="E361" s="50"/>
    </row>
    <row r="362" spans="1:5" x14ac:dyDescent="0.25">
      <c r="A362" s="25"/>
      <c r="B362" s="22" t="str">
        <f>_xlfn.IFNA(IF($A362&lt;&gt;"",VLOOKUP($A362,Protocolos!$A$6:$G$9992,2,FALSE),""),"Não localizado")</f>
        <v/>
      </c>
      <c r="C362" s="23" t="str">
        <f>_xlfn.IFNA(IF($A362&lt;&gt;"",VLOOKUP($A362,Protocolos!$A$6:$G$9992,7,FALSE),""),"Não localizado")</f>
        <v/>
      </c>
      <c r="D362" s="23" t="str">
        <f>_xlfn.IFNA(IF($A362&lt;&gt;"",VLOOKUP($A362,Protocolos!$A$6:$G$9992,6,FALSE),""),"Não localizado")</f>
        <v/>
      </c>
      <c r="E362" s="50"/>
    </row>
    <row r="363" spans="1:5" x14ac:dyDescent="0.25">
      <c r="A363" s="25"/>
      <c r="B363" s="22" t="str">
        <f>_xlfn.IFNA(IF($A363&lt;&gt;"",VLOOKUP($A363,Protocolos!$A$6:$G$9992,2,FALSE),""),"Não localizado")</f>
        <v/>
      </c>
      <c r="C363" s="23" t="str">
        <f>_xlfn.IFNA(IF($A363&lt;&gt;"",VLOOKUP($A363,Protocolos!$A$6:$G$9992,7,FALSE),""),"Não localizado")</f>
        <v/>
      </c>
      <c r="D363" s="23" t="str">
        <f>_xlfn.IFNA(IF($A363&lt;&gt;"",VLOOKUP($A363,Protocolos!$A$6:$G$9992,6,FALSE),""),"Não localizado")</f>
        <v/>
      </c>
      <c r="E363" s="50"/>
    </row>
    <row r="364" spans="1:5" x14ac:dyDescent="0.25">
      <c r="A364" s="25"/>
      <c r="B364" s="22" t="str">
        <f>_xlfn.IFNA(IF($A364&lt;&gt;"",VLOOKUP($A364,Protocolos!$A$6:$G$9992,2,FALSE),""),"Não localizado")</f>
        <v/>
      </c>
      <c r="C364" s="23" t="str">
        <f>_xlfn.IFNA(IF($A364&lt;&gt;"",VLOOKUP($A364,Protocolos!$A$6:$G$9992,7,FALSE),""),"Não localizado")</f>
        <v/>
      </c>
      <c r="D364" s="23" t="str">
        <f>_xlfn.IFNA(IF($A364&lt;&gt;"",VLOOKUP($A364,Protocolos!$A$6:$G$9992,6,FALSE),""),"Não localizado")</f>
        <v/>
      </c>
      <c r="E364" s="50"/>
    </row>
    <row r="365" spans="1:5" x14ac:dyDescent="0.25">
      <c r="A365" s="25"/>
      <c r="B365" s="22" t="str">
        <f>_xlfn.IFNA(IF($A365&lt;&gt;"",VLOOKUP($A365,Protocolos!$A$6:$G$9992,2,FALSE),""),"Não localizado")</f>
        <v/>
      </c>
      <c r="C365" s="23" t="str">
        <f>_xlfn.IFNA(IF($A365&lt;&gt;"",VLOOKUP($A365,Protocolos!$A$6:$G$9992,7,FALSE),""),"Não localizado")</f>
        <v/>
      </c>
      <c r="D365" s="23" t="str">
        <f>_xlfn.IFNA(IF($A365&lt;&gt;"",VLOOKUP($A365,Protocolos!$A$6:$G$9992,6,FALSE),""),"Não localizado")</f>
        <v/>
      </c>
      <c r="E365" s="50"/>
    </row>
    <row r="366" spans="1:5" x14ac:dyDescent="0.25">
      <c r="A366" s="25"/>
      <c r="B366" s="22" t="str">
        <f>_xlfn.IFNA(IF($A366&lt;&gt;"",VLOOKUP($A366,Protocolos!$A$6:$G$9992,2,FALSE),""),"Não localizado")</f>
        <v/>
      </c>
      <c r="C366" s="23" t="str">
        <f>_xlfn.IFNA(IF($A366&lt;&gt;"",VLOOKUP($A366,Protocolos!$A$6:$G$9992,7,FALSE),""),"Não localizado")</f>
        <v/>
      </c>
      <c r="D366" s="23" t="str">
        <f>_xlfn.IFNA(IF($A366&lt;&gt;"",VLOOKUP($A366,Protocolos!$A$6:$G$9992,6,FALSE),""),"Não localizado")</f>
        <v/>
      </c>
      <c r="E366" s="50"/>
    </row>
    <row r="367" spans="1:5" x14ac:dyDescent="0.25">
      <c r="A367" s="25"/>
      <c r="B367" s="22" t="str">
        <f>_xlfn.IFNA(IF($A367&lt;&gt;"",VLOOKUP($A367,Protocolos!$A$6:$G$9992,2,FALSE),""),"Não localizado")</f>
        <v/>
      </c>
      <c r="C367" s="23" t="str">
        <f>_xlfn.IFNA(IF($A367&lt;&gt;"",VLOOKUP($A367,Protocolos!$A$6:$G$9992,7,FALSE),""),"Não localizado")</f>
        <v/>
      </c>
      <c r="D367" s="23" t="str">
        <f>_xlfn.IFNA(IF($A367&lt;&gt;"",VLOOKUP($A367,Protocolos!$A$6:$G$9992,6,FALSE),""),"Não localizado")</f>
        <v/>
      </c>
      <c r="E367" s="50"/>
    </row>
    <row r="368" spans="1:5" x14ac:dyDescent="0.25">
      <c r="A368" s="25"/>
      <c r="B368" s="22" t="str">
        <f>_xlfn.IFNA(IF($A368&lt;&gt;"",VLOOKUP($A368,Protocolos!$A$6:$G$9992,2,FALSE),""),"Não localizado")</f>
        <v/>
      </c>
      <c r="C368" s="23" t="str">
        <f>_xlfn.IFNA(IF($A368&lt;&gt;"",VLOOKUP($A368,Protocolos!$A$6:$G$9992,7,FALSE),""),"Não localizado")</f>
        <v/>
      </c>
      <c r="D368" s="23" t="str">
        <f>_xlfn.IFNA(IF($A368&lt;&gt;"",VLOOKUP($A368,Protocolos!$A$6:$G$9992,6,FALSE),""),"Não localizado")</f>
        <v/>
      </c>
      <c r="E368" s="50"/>
    </row>
    <row r="369" spans="1:5" x14ac:dyDescent="0.25">
      <c r="A369" s="25"/>
      <c r="B369" s="22" t="str">
        <f>_xlfn.IFNA(IF($A369&lt;&gt;"",VLOOKUP($A369,Protocolos!$A$6:$G$9992,2,FALSE),""),"Não localizado")</f>
        <v/>
      </c>
      <c r="C369" s="23" t="str">
        <f>_xlfn.IFNA(IF($A369&lt;&gt;"",VLOOKUP($A369,Protocolos!$A$6:$G$9992,7,FALSE),""),"Não localizado")</f>
        <v/>
      </c>
      <c r="D369" s="23" t="str">
        <f>_xlfn.IFNA(IF($A369&lt;&gt;"",VLOOKUP($A369,Protocolos!$A$6:$G$9992,6,FALSE),""),"Não localizado")</f>
        <v/>
      </c>
      <c r="E369" s="50"/>
    </row>
    <row r="370" spans="1:5" x14ac:dyDescent="0.25">
      <c r="A370" s="25"/>
      <c r="B370" s="22" t="str">
        <f>_xlfn.IFNA(IF($A370&lt;&gt;"",VLOOKUP($A370,Protocolos!$A$6:$G$9992,2,FALSE),""),"Não localizado")</f>
        <v/>
      </c>
      <c r="C370" s="23" t="str">
        <f>_xlfn.IFNA(IF($A370&lt;&gt;"",VLOOKUP($A370,Protocolos!$A$6:$G$9992,7,FALSE),""),"Não localizado")</f>
        <v/>
      </c>
      <c r="D370" s="23" t="str">
        <f>_xlfn.IFNA(IF($A370&lt;&gt;"",VLOOKUP($A370,Protocolos!$A$6:$G$9992,6,FALSE),""),"Não localizado")</f>
        <v/>
      </c>
      <c r="E370" s="50"/>
    </row>
    <row r="371" spans="1:5" x14ac:dyDescent="0.25">
      <c r="A371" s="25"/>
      <c r="B371" s="22" t="str">
        <f>_xlfn.IFNA(IF($A371&lt;&gt;"",VLOOKUP($A371,Protocolos!$A$6:$G$9992,2,FALSE),""),"Não localizado")</f>
        <v/>
      </c>
      <c r="C371" s="23" t="str">
        <f>_xlfn.IFNA(IF($A371&lt;&gt;"",VLOOKUP($A371,Protocolos!$A$6:$G$9992,7,FALSE),""),"Não localizado")</f>
        <v/>
      </c>
      <c r="D371" s="23" t="str">
        <f>_xlfn.IFNA(IF($A371&lt;&gt;"",VLOOKUP($A371,Protocolos!$A$6:$G$9992,6,FALSE),""),"Não localizado")</f>
        <v/>
      </c>
      <c r="E371" s="50"/>
    </row>
    <row r="372" spans="1:5" x14ac:dyDescent="0.25">
      <c r="A372" s="25"/>
      <c r="B372" s="22" t="str">
        <f>_xlfn.IFNA(IF($A372&lt;&gt;"",VLOOKUP($A372,Protocolos!$A$6:$G$9992,2,FALSE),""),"Não localizado")</f>
        <v/>
      </c>
      <c r="C372" s="23" t="str">
        <f>_xlfn.IFNA(IF($A372&lt;&gt;"",VLOOKUP($A372,Protocolos!$A$6:$G$9992,7,FALSE),""),"Não localizado")</f>
        <v/>
      </c>
      <c r="D372" s="23" t="str">
        <f>_xlfn.IFNA(IF($A372&lt;&gt;"",VLOOKUP($A372,Protocolos!$A$6:$G$9992,6,FALSE),""),"Não localizado")</f>
        <v/>
      </c>
      <c r="E372" s="50"/>
    </row>
    <row r="373" spans="1:5" x14ac:dyDescent="0.25">
      <c r="A373" s="25"/>
      <c r="B373" s="22" t="str">
        <f>_xlfn.IFNA(IF($A373&lt;&gt;"",VLOOKUP($A373,Protocolos!$A$6:$G$9992,2,FALSE),""),"Não localizado")</f>
        <v/>
      </c>
      <c r="C373" s="23" t="str">
        <f>_xlfn.IFNA(IF($A373&lt;&gt;"",VLOOKUP($A373,Protocolos!$A$6:$G$9992,7,FALSE),""),"Não localizado")</f>
        <v/>
      </c>
      <c r="D373" s="23" t="str">
        <f>_xlfn.IFNA(IF($A373&lt;&gt;"",VLOOKUP($A373,Protocolos!$A$6:$G$9992,6,FALSE),""),"Não localizado")</f>
        <v/>
      </c>
      <c r="E373" s="50"/>
    </row>
    <row r="374" spans="1:5" x14ac:dyDescent="0.25">
      <c r="A374" s="25"/>
      <c r="B374" s="22" t="str">
        <f>_xlfn.IFNA(IF($A374&lt;&gt;"",VLOOKUP($A374,Protocolos!$A$6:$G$9992,2,FALSE),""),"Não localizado")</f>
        <v/>
      </c>
      <c r="C374" s="23" t="str">
        <f>_xlfn.IFNA(IF($A374&lt;&gt;"",VLOOKUP($A374,Protocolos!$A$6:$G$9992,7,FALSE),""),"Não localizado")</f>
        <v/>
      </c>
      <c r="D374" s="23" t="str">
        <f>_xlfn.IFNA(IF($A374&lt;&gt;"",VLOOKUP($A374,Protocolos!$A$6:$G$9992,6,FALSE),""),"Não localizado")</f>
        <v/>
      </c>
      <c r="E374" s="50"/>
    </row>
    <row r="375" spans="1:5" x14ac:dyDescent="0.25">
      <c r="A375" s="25"/>
      <c r="B375" s="22" t="str">
        <f>_xlfn.IFNA(IF($A375&lt;&gt;"",VLOOKUP($A375,Protocolos!$A$6:$G$9992,2,FALSE),""),"Não localizado")</f>
        <v/>
      </c>
      <c r="C375" s="23" t="str">
        <f>_xlfn.IFNA(IF($A375&lt;&gt;"",VLOOKUP($A375,Protocolos!$A$6:$G$9992,7,FALSE),""),"Não localizado")</f>
        <v/>
      </c>
      <c r="D375" s="23" t="str">
        <f>_xlfn.IFNA(IF($A375&lt;&gt;"",VLOOKUP($A375,Protocolos!$A$6:$G$9992,6,FALSE),""),"Não localizado")</f>
        <v/>
      </c>
      <c r="E375" s="50"/>
    </row>
    <row r="376" spans="1:5" x14ac:dyDescent="0.25">
      <c r="A376" s="25"/>
      <c r="B376" s="22" t="str">
        <f>_xlfn.IFNA(IF($A376&lt;&gt;"",VLOOKUP($A376,Protocolos!$A$6:$G$9992,2,FALSE),""),"Não localizado")</f>
        <v/>
      </c>
      <c r="C376" s="23" t="str">
        <f>_xlfn.IFNA(IF($A376&lt;&gt;"",VLOOKUP($A376,Protocolos!$A$6:$G$9992,7,FALSE),""),"Não localizado")</f>
        <v/>
      </c>
      <c r="D376" s="23" t="str">
        <f>_xlfn.IFNA(IF($A376&lt;&gt;"",VLOOKUP($A376,Protocolos!$A$6:$G$9992,6,FALSE),""),"Não localizado")</f>
        <v/>
      </c>
      <c r="E376" s="50"/>
    </row>
    <row r="377" spans="1:5" x14ac:dyDescent="0.25">
      <c r="A377" s="25"/>
      <c r="B377" s="22" t="str">
        <f>_xlfn.IFNA(IF($A377&lt;&gt;"",VLOOKUP($A377,Protocolos!$A$6:$G$9992,2,FALSE),""),"Não localizado")</f>
        <v/>
      </c>
      <c r="C377" s="23" t="str">
        <f>_xlfn.IFNA(IF($A377&lt;&gt;"",VLOOKUP($A377,Protocolos!$A$6:$G$9992,7,FALSE),""),"Não localizado")</f>
        <v/>
      </c>
      <c r="D377" s="23" t="str">
        <f>_xlfn.IFNA(IF($A377&lt;&gt;"",VLOOKUP($A377,Protocolos!$A$6:$G$9992,6,FALSE),""),"Não localizado")</f>
        <v/>
      </c>
      <c r="E377" s="50"/>
    </row>
    <row r="378" spans="1:5" x14ac:dyDescent="0.25">
      <c r="A378" s="25"/>
      <c r="B378" s="22" t="str">
        <f>_xlfn.IFNA(IF($A378&lt;&gt;"",VLOOKUP($A378,Protocolos!$A$6:$G$9992,2,FALSE),""),"Não localizado")</f>
        <v/>
      </c>
      <c r="C378" s="23" t="str">
        <f>_xlfn.IFNA(IF($A378&lt;&gt;"",VLOOKUP($A378,Protocolos!$A$6:$G$9992,7,FALSE),""),"Não localizado")</f>
        <v/>
      </c>
      <c r="D378" s="23" t="str">
        <f>_xlfn.IFNA(IF($A378&lt;&gt;"",VLOOKUP($A378,Protocolos!$A$6:$G$9992,6,FALSE),""),"Não localizado")</f>
        <v/>
      </c>
      <c r="E378" s="50"/>
    </row>
    <row r="379" spans="1:5" x14ac:dyDescent="0.25">
      <c r="A379" s="25"/>
      <c r="B379" s="22" t="str">
        <f>_xlfn.IFNA(IF($A379&lt;&gt;"",VLOOKUP($A379,Protocolos!$A$6:$G$9992,2,FALSE),""),"Não localizado")</f>
        <v/>
      </c>
      <c r="C379" s="23" t="str">
        <f>_xlfn.IFNA(IF($A379&lt;&gt;"",VLOOKUP($A379,Protocolos!$A$6:$G$9992,7,FALSE),""),"Não localizado")</f>
        <v/>
      </c>
      <c r="D379" s="23" t="str">
        <f>_xlfn.IFNA(IF($A379&lt;&gt;"",VLOOKUP($A379,Protocolos!$A$6:$G$9992,6,FALSE),""),"Não localizado")</f>
        <v/>
      </c>
      <c r="E379" s="50"/>
    </row>
    <row r="380" spans="1:5" x14ac:dyDescent="0.25">
      <c r="A380" s="25"/>
      <c r="B380" s="22" t="str">
        <f>_xlfn.IFNA(IF($A380&lt;&gt;"",VLOOKUP($A380,Protocolos!$A$6:$G$9992,2,FALSE),""),"Não localizado")</f>
        <v/>
      </c>
      <c r="C380" s="23" t="str">
        <f>_xlfn.IFNA(IF($A380&lt;&gt;"",VLOOKUP($A380,Protocolos!$A$6:$G$9992,7,FALSE),""),"Não localizado")</f>
        <v/>
      </c>
      <c r="D380" s="23" t="str">
        <f>_xlfn.IFNA(IF($A380&lt;&gt;"",VLOOKUP($A380,Protocolos!$A$6:$G$9992,6,FALSE),""),"Não localizado")</f>
        <v/>
      </c>
      <c r="E380" s="50"/>
    </row>
    <row r="381" spans="1:5" x14ac:dyDescent="0.25">
      <c r="A381" s="25"/>
      <c r="B381" s="22" t="str">
        <f>_xlfn.IFNA(IF($A381&lt;&gt;"",VLOOKUP($A381,Protocolos!$A$6:$G$9992,2,FALSE),""),"Não localizado")</f>
        <v/>
      </c>
      <c r="C381" s="23" t="str">
        <f>_xlfn.IFNA(IF($A381&lt;&gt;"",VLOOKUP($A381,Protocolos!$A$6:$G$9992,7,FALSE),""),"Não localizado")</f>
        <v/>
      </c>
      <c r="D381" s="23" t="str">
        <f>_xlfn.IFNA(IF($A381&lt;&gt;"",VLOOKUP($A381,Protocolos!$A$6:$G$9992,6,FALSE),""),"Não localizado")</f>
        <v/>
      </c>
      <c r="E381" s="50"/>
    </row>
    <row r="382" spans="1:5" x14ac:dyDescent="0.25">
      <c r="A382" s="25"/>
      <c r="B382" s="22" t="str">
        <f>_xlfn.IFNA(IF($A382&lt;&gt;"",VLOOKUP($A382,Protocolos!$A$6:$G$9992,2,FALSE),""),"Não localizado")</f>
        <v/>
      </c>
      <c r="C382" s="23" t="str">
        <f>_xlfn.IFNA(IF($A382&lt;&gt;"",VLOOKUP($A382,Protocolos!$A$6:$G$9992,7,FALSE),""),"Não localizado")</f>
        <v/>
      </c>
      <c r="D382" s="23" t="str">
        <f>_xlfn.IFNA(IF($A382&lt;&gt;"",VLOOKUP($A382,Protocolos!$A$6:$G$9992,6,FALSE),""),"Não localizado")</f>
        <v/>
      </c>
      <c r="E382" s="50"/>
    </row>
    <row r="383" spans="1:5" x14ac:dyDescent="0.25">
      <c r="A383" s="25"/>
      <c r="B383" s="22" t="str">
        <f>_xlfn.IFNA(IF($A383&lt;&gt;"",VLOOKUP($A383,Protocolos!$A$6:$G$9992,2,FALSE),""),"Não localizado")</f>
        <v/>
      </c>
      <c r="C383" s="23" t="str">
        <f>_xlfn.IFNA(IF($A383&lt;&gt;"",VLOOKUP($A383,Protocolos!$A$6:$G$9992,7,FALSE),""),"Não localizado")</f>
        <v/>
      </c>
      <c r="D383" s="23" t="str">
        <f>_xlfn.IFNA(IF($A383&lt;&gt;"",VLOOKUP($A383,Protocolos!$A$6:$G$9992,6,FALSE),""),"Não localizado")</f>
        <v/>
      </c>
      <c r="E383" s="50"/>
    </row>
    <row r="384" spans="1:5" x14ac:dyDescent="0.25">
      <c r="A384" s="25"/>
      <c r="B384" s="22" t="str">
        <f>_xlfn.IFNA(IF($A384&lt;&gt;"",VLOOKUP($A384,Protocolos!$A$6:$G$9992,2,FALSE),""),"Não localizado")</f>
        <v/>
      </c>
      <c r="C384" s="23" t="str">
        <f>_xlfn.IFNA(IF($A384&lt;&gt;"",VLOOKUP($A384,Protocolos!$A$6:$G$9992,7,FALSE),""),"Não localizado")</f>
        <v/>
      </c>
      <c r="D384" s="23" t="str">
        <f>_xlfn.IFNA(IF($A384&lt;&gt;"",VLOOKUP($A384,Protocolos!$A$6:$G$9992,6,FALSE),""),"Não localizado")</f>
        <v/>
      </c>
      <c r="E384" s="50"/>
    </row>
    <row r="385" spans="1:5" x14ac:dyDescent="0.25">
      <c r="A385" s="25"/>
      <c r="B385" s="22" t="str">
        <f>_xlfn.IFNA(IF($A385&lt;&gt;"",VLOOKUP($A385,Protocolos!$A$6:$G$9992,2,FALSE),""),"Não localizado")</f>
        <v/>
      </c>
      <c r="C385" s="23" t="str">
        <f>_xlfn.IFNA(IF($A385&lt;&gt;"",VLOOKUP($A385,Protocolos!$A$6:$G$9992,7,FALSE),""),"Não localizado")</f>
        <v/>
      </c>
      <c r="D385" s="23" t="str">
        <f>_xlfn.IFNA(IF($A385&lt;&gt;"",VLOOKUP($A385,Protocolos!$A$6:$G$9992,6,FALSE),""),"Não localizado")</f>
        <v/>
      </c>
      <c r="E385" s="50"/>
    </row>
    <row r="386" spans="1:5" x14ac:dyDescent="0.25">
      <c r="A386" s="25"/>
      <c r="B386" s="22" t="str">
        <f>_xlfn.IFNA(IF($A386&lt;&gt;"",VLOOKUP($A386,Protocolos!$A$6:$G$9992,2,FALSE),""),"Não localizado")</f>
        <v/>
      </c>
      <c r="C386" s="23" t="str">
        <f>_xlfn.IFNA(IF($A386&lt;&gt;"",VLOOKUP($A386,Protocolos!$A$6:$G$9992,7,FALSE),""),"Não localizado")</f>
        <v/>
      </c>
      <c r="D386" s="23" t="str">
        <f>_xlfn.IFNA(IF($A386&lt;&gt;"",VLOOKUP($A386,Protocolos!$A$6:$G$9992,6,FALSE),""),"Não localizado")</f>
        <v/>
      </c>
      <c r="E386" s="50"/>
    </row>
    <row r="387" spans="1:5" x14ac:dyDescent="0.25">
      <c r="A387" s="25"/>
      <c r="B387" s="22" t="str">
        <f>_xlfn.IFNA(IF($A387&lt;&gt;"",VLOOKUP($A387,Protocolos!$A$6:$G$9992,2,FALSE),""),"Não localizado")</f>
        <v/>
      </c>
      <c r="C387" s="23" t="str">
        <f>_xlfn.IFNA(IF($A387&lt;&gt;"",VLOOKUP($A387,Protocolos!$A$6:$G$9992,7,FALSE),""),"Não localizado")</f>
        <v/>
      </c>
      <c r="D387" s="23" t="str">
        <f>_xlfn.IFNA(IF($A387&lt;&gt;"",VLOOKUP($A387,Protocolos!$A$6:$G$9992,6,FALSE),""),"Não localizado")</f>
        <v/>
      </c>
      <c r="E387" s="50"/>
    </row>
    <row r="388" spans="1:5" x14ac:dyDescent="0.25">
      <c r="A388" s="25"/>
      <c r="B388" s="22" t="str">
        <f>_xlfn.IFNA(IF($A388&lt;&gt;"",VLOOKUP($A388,Protocolos!$A$6:$G$9992,2,FALSE),""),"Não localizado")</f>
        <v/>
      </c>
      <c r="C388" s="23" t="str">
        <f>_xlfn.IFNA(IF($A388&lt;&gt;"",VLOOKUP($A388,Protocolos!$A$6:$G$9992,7,FALSE),""),"Não localizado")</f>
        <v/>
      </c>
      <c r="D388" s="23" t="str">
        <f>_xlfn.IFNA(IF($A388&lt;&gt;"",VLOOKUP($A388,Protocolos!$A$6:$G$9992,6,FALSE),""),"Não localizado")</f>
        <v/>
      </c>
      <c r="E388" s="50"/>
    </row>
    <row r="389" spans="1:5" x14ac:dyDescent="0.25">
      <c r="A389" s="25"/>
      <c r="B389" s="22" t="str">
        <f>_xlfn.IFNA(IF($A389&lt;&gt;"",VLOOKUP($A389,Protocolos!$A$6:$G$9992,2,FALSE),""),"Não localizado")</f>
        <v/>
      </c>
      <c r="C389" s="23" t="str">
        <f>_xlfn.IFNA(IF($A389&lt;&gt;"",VLOOKUP($A389,Protocolos!$A$6:$G$9992,7,FALSE),""),"Não localizado")</f>
        <v/>
      </c>
      <c r="D389" s="23" t="str">
        <f>_xlfn.IFNA(IF($A389&lt;&gt;"",VLOOKUP($A389,Protocolos!$A$6:$G$9992,6,FALSE),""),"Não localizado")</f>
        <v/>
      </c>
      <c r="E389" s="50"/>
    </row>
    <row r="390" spans="1:5" x14ac:dyDescent="0.25">
      <c r="A390" s="25"/>
      <c r="B390" s="22" t="str">
        <f>_xlfn.IFNA(IF($A390&lt;&gt;"",VLOOKUP($A390,Protocolos!$A$6:$G$9992,2,FALSE),""),"Não localizado")</f>
        <v/>
      </c>
      <c r="C390" s="23" t="str">
        <f>_xlfn.IFNA(IF($A390&lt;&gt;"",VLOOKUP($A390,Protocolos!$A$6:$G$9992,7,FALSE),""),"Não localizado")</f>
        <v/>
      </c>
      <c r="D390" s="23" t="str">
        <f>_xlfn.IFNA(IF($A390&lt;&gt;"",VLOOKUP($A390,Protocolos!$A$6:$G$9992,6,FALSE),""),"Não localizado")</f>
        <v/>
      </c>
      <c r="E390" s="50"/>
    </row>
    <row r="391" spans="1:5" x14ac:dyDescent="0.25">
      <c r="A391" s="25"/>
      <c r="B391" s="22" t="str">
        <f>_xlfn.IFNA(IF($A391&lt;&gt;"",VLOOKUP($A391,Protocolos!$A$6:$G$9992,2,FALSE),""),"Não localizado")</f>
        <v/>
      </c>
      <c r="C391" s="23" t="str">
        <f>_xlfn.IFNA(IF($A391&lt;&gt;"",VLOOKUP($A391,Protocolos!$A$6:$G$9992,7,FALSE),""),"Não localizado")</f>
        <v/>
      </c>
      <c r="D391" s="23" t="str">
        <f>_xlfn.IFNA(IF($A391&lt;&gt;"",VLOOKUP($A391,Protocolos!$A$6:$G$9992,6,FALSE),""),"Não localizado")</f>
        <v/>
      </c>
      <c r="E391" s="50"/>
    </row>
    <row r="392" spans="1:5" x14ac:dyDescent="0.25">
      <c r="A392" s="25"/>
      <c r="B392" s="22" t="str">
        <f>_xlfn.IFNA(IF($A392&lt;&gt;"",VLOOKUP($A392,Protocolos!$A$6:$G$9992,2,FALSE),""),"Não localizado")</f>
        <v/>
      </c>
      <c r="C392" s="23" t="str">
        <f>_xlfn.IFNA(IF($A392&lt;&gt;"",VLOOKUP($A392,Protocolos!$A$6:$G$9992,7,FALSE),""),"Não localizado")</f>
        <v/>
      </c>
      <c r="D392" s="23" t="str">
        <f>_xlfn.IFNA(IF($A392&lt;&gt;"",VLOOKUP($A392,Protocolos!$A$6:$G$9992,6,FALSE),""),"Não localizado")</f>
        <v/>
      </c>
      <c r="E392" s="50"/>
    </row>
    <row r="393" spans="1:5" x14ac:dyDescent="0.25">
      <c r="A393" s="25"/>
      <c r="B393" s="22" t="str">
        <f>_xlfn.IFNA(IF($A393&lt;&gt;"",VLOOKUP($A393,Protocolos!$A$6:$G$9992,2,FALSE),""),"Não localizado")</f>
        <v/>
      </c>
      <c r="C393" s="23" t="str">
        <f>_xlfn.IFNA(IF($A393&lt;&gt;"",VLOOKUP($A393,Protocolos!$A$6:$G$9992,7,FALSE),""),"Não localizado")</f>
        <v/>
      </c>
      <c r="D393" s="23" t="str">
        <f>_xlfn.IFNA(IF($A393&lt;&gt;"",VLOOKUP($A393,Protocolos!$A$6:$G$9992,6,FALSE),""),"Não localizado")</f>
        <v/>
      </c>
      <c r="E393" s="50"/>
    </row>
    <row r="394" spans="1:5" x14ac:dyDescent="0.25">
      <c r="A394" s="25"/>
      <c r="B394" s="22" t="str">
        <f>_xlfn.IFNA(IF($A394&lt;&gt;"",VLOOKUP($A394,Protocolos!$A$6:$G$9992,2,FALSE),""),"Não localizado")</f>
        <v/>
      </c>
      <c r="C394" s="23" t="str">
        <f>_xlfn.IFNA(IF($A394&lt;&gt;"",VLOOKUP($A394,Protocolos!$A$6:$G$9992,7,FALSE),""),"Não localizado")</f>
        <v/>
      </c>
      <c r="D394" s="23" t="str">
        <f>_xlfn.IFNA(IF($A394&lt;&gt;"",VLOOKUP($A394,Protocolos!$A$6:$G$9992,6,FALSE),""),"Não localizado")</f>
        <v/>
      </c>
      <c r="E394" s="50"/>
    </row>
    <row r="395" spans="1:5" x14ac:dyDescent="0.25">
      <c r="A395" s="25"/>
      <c r="B395" s="22" t="str">
        <f>_xlfn.IFNA(IF($A395&lt;&gt;"",VLOOKUP($A395,Protocolos!$A$6:$G$9992,2,FALSE),""),"Não localizado")</f>
        <v/>
      </c>
      <c r="C395" s="23" t="str">
        <f>_xlfn.IFNA(IF($A395&lt;&gt;"",VLOOKUP($A395,Protocolos!$A$6:$G$9992,7,FALSE),""),"Não localizado")</f>
        <v/>
      </c>
      <c r="D395" s="23" t="str">
        <f>_xlfn.IFNA(IF($A395&lt;&gt;"",VLOOKUP($A395,Protocolos!$A$6:$G$9992,6,FALSE),""),"Não localizado")</f>
        <v/>
      </c>
      <c r="E395" s="50"/>
    </row>
    <row r="396" spans="1:5" x14ac:dyDescent="0.25">
      <c r="A396" s="25"/>
      <c r="B396" s="22" t="str">
        <f>_xlfn.IFNA(IF($A396&lt;&gt;"",VLOOKUP($A396,Protocolos!$A$6:$G$9992,2,FALSE),""),"Não localizado")</f>
        <v/>
      </c>
      <c r="C396" s="23" t="str">
        <f>_xlfn.IFNA(IF($A396&lt;&gt;"",VLOOKUP($A396,Protocolos!$A$6:$G$9992,7,FALSE),""),"Não localizado")</f>
        <v/>
      </c>
      <c r="D396" s="23" t="str">
        <f>_xlfn.IFNA(IF($A396&lt;&gt;"",VLOOKUP($A396,Protocolos!$A$6:$G$9992,6,FALSE),""),"Não localizado")</f>
        <v/>
      </c>
      <c r="E396" s="50"/>
    </row>
    <row r="397" spans="1:5" x14ac:dyDescent="0.25">
      <c r="A397" s="25"/>
      <c r="B397" s="22" t="str">
        <f>_xlfn.IFNA(IF($A397&lt;&gt;"",VLOOKUP($A397,Protocolos!$A$6:$G$9992,2,FALSE),""),"Não localizado")</f>
        <v/>
      </c>
      <c r="C397" s="23" t="str">
        <f>_xlfn.IFNA(IF($A397&lt;&gt;"",VLOOKUP($A397,Protocolos!$A$6:$G$9992,7,FALSE),""),"Não localizado")</f>
        <v/>
      </c>
      <c r="D397" s="23" t="str">
        <f>_xlfn.IFNA(IF($A397&lt;&gt;"",VLOOKUP($A397,Protocolos!$A$6:$G$9992,6,FALSE),""),"Não localizado")</f>
        <v/>
      </c>
      <c r="E397" s="50"/>
    </row>
    <row r="398" spans="1:5" x14ac:dyDescent="0.25">
      <c r="A398" s="25"/>
      <c r="B398" s="22" t="str">
        <f>_xlfn.IFNA(IF($A398&lt;&gt;"",VLOOKUP($A398,Protocolos!$A$6:$G$9992,2,FALSE),""),"Não localizado")</f>
        <v/>
      </c>
      <c r="C398" s="23" t="str">
        <f>_xlfn.IFNA(IF($A398&lt;&gt;"",VLOOKUP($A398,Protocolos!$A$6:$G$9992,7,FALSE),""),"Não localizado")</f>
        <v/>
      </c>
      <c r="D398" s="23" t="str">
        <f>_xlfn.IFNA(IF($A398&lt;&gt;"",VLOOKUP($A398,Protocolos!$A$6:$G$9992,6,FALSE),""),"Não localizado")</f>
        <v/>
      </c>
      <c r="E398" s="50"/>
    </row>
    <row r="399" spans="1:5" x14ac:dyDescent="0.25">
      <c r="A399" s="25"/>
      <c r="B399" s="22" t="str">
        <f>_xlfn.IFNA(IF($A399&lt;&gt;"",VLOOKUP($A399,Protocolos!$A$6:$G$9992,2,FALSE),""),"Não localizado")</f>
        <v/>
      </c>
      <c r="C399" s="23" t="str">
        <f>_xlfn.IFNA(IF($A399&lt;&gt;"",VLOOKUP($A399,Protocolos!$A$6:$G$9992,7,FALSE),""),"Não localizado")</f>
        <v/>
      </c>
      <c r="D399" s="23" t="str">
        <f>_xlfn.IFNA(IF($A399&lt;&gt;"",VLOOKUP($A399,Protocolos!$A$6:$G$9992,6,FALSE),""),"Não localizado")</f>
        <v/>
      </c>
      <c r="E399" s="50"/>
    </row>
    <row r="400" spans="1:5" x14ac:dyDescent="0.25">
      <c r="A400" s="25"/>
      <c r="B400" s="22" t="str">
        <f>_xlfn.IFNA(IF($A400&lt;&gt;"",VLOOKUP($A400,Protocolos!$A$6:$G$9992,2,FALSE),""),"Não localizado")</f>
        <v/>
      </c>
      <c r="C400" s="23" t="str">
        <f>_xlfn.IFNA(IF($A400&lt;&gt;"",VLOOKUP($A400,Protocolos!$A$6:$G$9992,7,FALSE),""),"Não localizado")</f>
        <v/>
      </c>
      <c r="D400" s="23" t="str">
        <f>_xlfn.IFNA(IF($A400&lt;&gt;"",VLOOKUP($A400,Protocolos!$A$6:$G$9992,6,FALSE),""),"Não localizado")</f>
        <v/>
      </c>
      <c r="E400" s="50"/>
    </row>
    <row r="401" spans="1:5" x14ac:dyDescent="0.25">
      <c r="A401" s="25"/>
      <c r="B401" s="22" t="str">
        <f>_xlfn.IFNA(IF($A401&lt;&gt;"",VLOOKUP($A401,Protocolos!$A$6:$G$9992,2,FALSE),""),"Não localizado")</f>
        <v/>
      </c>
      <c r="C401" s="23" t="str">
        <f>_xlfn.IFNA(IF($A401&lt;&gt;"",VLOOKUP($A401,Protocolos!$A$6:$G$9992,7,FALSE),""),"Não localizado")</f>
        <v/>
      </c>
      <c r="D401" s="23" t="str">
        <f>_xlfn.IFNA(IF($A401&lt;&gt;"",VLOOKUP($A401,Protocolos!$A$6:$G$9992,6,FALSE),""),"Não localizado")</f>
        <v/>
      </c>
      <c r="E401" s="50"/>
    </row>
    <row r="402" spans="1:5" x14ac:dyDescent="0.25">
      <c r="A402" s="25"/>
      <c r="B402" s="22" t="str">
        <f>_xlfn.IFNA(IF($A402&lt;&gt;"",VLOOKUP($A402,Protocolos!$A$6:$G$9992,2,FALSE),""),"Não localizado")</f>
        <v/>
      </c>
      <c r="C402" s="23" t="str">
        <f>_xlfn.IFNA(IF($A402&lt;&gt;"",VLOOKUP($A402,Protocolos!$A$6:$G$9992,7,FALSE),""),"Não localizado")</f>
        <v/>
      </c>
      <c r="D402" s="23" t="str">
        <f>_xlfn.IFNA(IF($A402&lt;&gt;"",VLOOKUP($A402,Protocolos!$A$6:$G$9992,6,FALSE),""),"Não localizado")</f>
        <v/>
      </c>
      <c r="E402" s="50"/>
    </row>
    <row r="403" spans="1:5" x14ac:dyDescent="0.25">
      <c r="A403" s="25"/>
      <c r="B403" s="22" t="str">
        <f>_xlfn.IFNA(IF($A403&lt;&gt;"",VLOOKUP($A403,Protocolos!$A$6:$G$9992,2,FALSE),""),"Não localizado")</f>
        <v/>
      </c>
      <c r="C403" s="23" t="str">
        <f>_xlfn.IFNA(IF($A403&lt;&gt;"",VLOOKUP($A403,Protocolos!$A$6:$G$9992,7,FALSE),""),"Não localizado")</f>
        <v/>
      </c>
      <c r="D403" s="23" t="str">
        <f>_xlfn.IFNA(IF($A403&lt;&gt;"",VLOOKUP($A403,Protocolos!$A$6:$G$9992,6,FALSE),""),"Não localizado")</f>
        <v/>
      </c>
      <c r="E403" s="50"/>
    </row>
    <row r="404" spans="1:5" x14ac:dyDescent="0.25">
      <c r="A404" s="25"/>
      <c r="B404" s="22" t="str">
        <f>_xlfn.IFNA(IF($A404&lt;&gt;"",VLOOKUP($A404,Protocolos!$A$6:$G$9992,2,FALSE),""),"Não localizado")</f>
        <v/>
      </c>
      <c r="C404" s="23" t="str">
        <f>_xlfn.IFNA(IF($A404&lt;&gt;"",VLOOKUP($A404,Protocolos!$A$6:$G$9992,7,FALSE),""),"Não localizado")</f>
        <v/>
      </c>
      <c r="D404" s="23" t="str">
        <f>_xlfn.IFNA(IF($A404&lt;&gt;"",VLOOKUP($A404,Protocolos!$A$6:$G$9992,6,FALSE),""),"Não localizado")</f>
        <v/>
      </c>
      <c r="E404" s="50"/>
    </row>
    <row r="405" spans="1:5" x14ac:dyDescent="0.25">
      <c r="A405" s="25"/>
      <c r="B405" s="22" t="str">
        <f>_xlfn.IFNA(IF($A405&lt;&gt;"",VLOOKUP($A405,Protocolos!$A$6:$G$9992,2,FALSE),""),"Não localizado")</f>
        <v/>
      </c>
      <c r="C405" s="23" t="str">
        <f>_xlfn.IFNA(IF($A405&lt;&gt;"",VLOOKUP($A405,Protocolos!$A$6:$G$9992,7,FALSE),""),"Não localizado")</f>
        <v/>
      </c>
      <c r="D405" s="23" t="str">
        <f>_xlfn.IFNA(IF($A405&lt;&gt;"",VLOOKUP($A405,Protocolos!$A$6:$G$9992,6,FALSE),""),"Não localizado")</f>
        <v/>
      </c>
      <c r="E405" s="50"/>
    </row>
    <row r="406" spans="1:5" x14ac:dyDescent="0.25">
      <c r="A406" s="25"/>
      <c r="B406" s="22" t="str">
        <f>_xlfn.IFNA(IF($A406&lt;&gt;"",VLOOKUP($A406,Protocolos!$A$6:$G$9992,2,FALSE),""),"Não localizado")</f>
        <v/>
      </c>
      <c r="C406" s="23" t="str">
        <f>_xlfn.IFNA(IF($A406&lt;&gt;"",VLOOKUP($A406,Protocolos!$A$6:$G$9992,7,FALSE),""),"Não localizado")</f>
        <v/>
      </c>
      <c r="D406" s="23" t="str">
        <f>_xlfn.IFNA(IF($A406&lt;&gt;"",VLOOKUP($A406,Protocolos!$A$6:$G$9992,6,FALSE),""),"Não localizado")</f>
        <v/>
      </c>
      <c r="E406" s="50"/>
    </row>
    <row r="407" spans="1:5" x14ac:dyDescent="0.25">
      <c r="A407" s="25"/>
      <c r="B407" s="22" t="str">
        <f>_xlfn.IFNA(IF($A407&lt;&gt;"",VLOOKUP($A407,Protocolos!$A$6:$G$9992,2,FALSE),""),"Não localizado")</f>
        <v/>
      </c>
      <c r="C407" s="23" t="str">
        <f>_xlfn.IFNA(IF($A407&lt;&gt;"",VLOOKUP($A407,Protocolos!$A$6:$G$9992,7,FALSE),""),"Não localizado")</f>
        <v/>
      </c>
      <c r="D407" s="23" t="str">
        <f>_xlfn.IFNA(IF($A407&lt;&gt;"",VLOOKUP($A407,Protocolos!$A$6:$G$9992,6,FALSE),""),"Não localizado")</f>
        <v/>
      </c>
      <c r="E407" s="50"/>
    </row>
    <row r="408" spans="1:5" x14ac:dyDescent="0.25">
      <c r="A408" s="25"/>
      <c r="B408" s="22" t="str">
        <f>_xlfn.IFNA(IF($A408&lt;&gt;"",VLOOKUP($A408,Protocolos!$A$6:$G$9992,2,FALSE),""),"Não localizado")</f>
        <v/>
      </c>
      <c r="C408" s="23" t="str">
        <f>_xlfn.IFNA(IF($A408&lt;&gt;"",VLOOKUP($A408,Protocolos!$A$6:$G$9992,7,FALSE),""),"Não localizado")</f>
        <v/>
      </c>
      <c r="D408" s="23" t="str">
        <f>_xlfn.IFNA(IF($A408&lt;&gt;"",VLOOKUP($A408,Protocolos!$A$6:$G$9992,6,FALSE),""),"Não localizado")</f>
        <v/>
      </c>
      <c r="E408" s="50"/>
    </row>
    <row r="409" spans="1:5" x14ac:dyDescent="0.25">
      <c r="A409" s="25"/>
      <c r="B409" s="22" t="str">
        <f>_xlfn.IFNA(IF($A409&lt;&gt;"",VLOOKUP($A409,Protocolos!$A$6:$G$9992,2,FALSE),""),"Não localizado")</f>
        <v/>
      </c>
      <c r="C409" s="23" t="str">
        <f>_xlfn.IFNA(IF($A409&lt;&gt;"",VLOOKUP($A409,Protocolos!$A$6:$G$9992,7,FALSE),""),"Não localizado")</f>
        <v/>
      </c>
      <c r="D409" s="23" t="str">
        <f>_xlfn.IFNA(IF($A409&lt;&gt;"",VLOOKUP($A409,Protocolos!$A$6:$G$9992,6,FALSE),""),"Não localizado")</f>
        <v/>
      </c>
      <c r="E409" s="50"/>
    </row>
    <row r="410" spans="1:5" x14ac:dyDescent="0.25">
      <c r="A410" s="25"/>
      <c r="B410" s="22" t="str">
        <f>_xlfn.IFNA(IF($A410&lt;&gt;"",VLOOKUP($A410,Protocolos!$A$6:$G$9992,2,FALSE),""),"Não localizado")</f>
        <v/>
      </c>
      <c r="C410" s="23" t="str">
        <f>_xlfn.IFNA(IF($A410&lt;&gt;"",VLOOKUP($A410,Protocolos!$A$6:$G$9992,7,FALSE),""),"Não localizado")</f>
        <v/>
      </c>
      <c r="D410" s="23" t="str">
        <f>_xlfn.IFNA(IF($A410&lt;&gt;"",VLOOKUP($A410,Protocolos!$A$6:$G$9992,6,FALSE),""),"Não localizado")</f>
        <v/>
      </c>
      <c r="E410" s="50"/>
    </row>
    <row r="411" spans="1:5" x14ac:dyDescent="0.25">
      <c r="A411" s="25"/>
      <c r="B411" s="22" t="str">
        <f>_xlfn.IFNA(IF($A411&lt;&gt;"",VLOOKUP($A411,Protocolos!$A$6:$G$9992,2,FALSE),""),"Não localizado")</f>
        <v/>
      </c>
      <c r="C411" s="23" t="str">
        <f>_xlfn.IFNA(IF($A411&lt;&gt;"",VLOOKUP($A411,Protocolos!$A$6:$G$9992,7,FALSE),""),"Não localizado")</f>
        <v/>
      </c>
      <c r="D411" s="23" t="str">
        <f>_xlfn.IFNA(IF($A411&lt;&gt;"",VLOOKUP($A411,Protocolos!$A$6:$G$9992,6,FALSE),""),"Não localizado")</f>
        <v/>
      </c>
      <c r="E411" s="50"/>
    </row>
    <row r="412" spans="1:5" x14ac:dyDescent="0.25">
      <c r="A412" s="25"/>
      <c r="B412" s="22" t="str">
        <f>_xlfn.IFNA(IF($A412&lt;&gt;"",VLOOKUP($A412,Protocolos!$A$6:$G$9992,2,FALSE),""),"Não localizado")</f>
        <v/>
      </c>
      <c r="C412" s="23" t="str">
        <f>_xlfn.IFNA(IF($A412&lt;&gt;"",VLOOKUP($A412,Protocolos!$A$6:$G$9992,7,FALSE),""),"Não localizado")</f>
        <v/>
      </c>
      <c r="D412" s="23" t="str">
        <f>_xlfn.IFNA(IF($A412&lt;&gt;"",VLOOKUP($A412,Protocolos!$A$6:$G$9992,6,FALSE),""),"Não localizado")</f>
        <v/>
      </c>
      <c r="E412" s="50"/>
    </row>
    <row r="413" spans="1:5" x14ac:dyDescent="0.25">
      <c r="A413" s="25"/>
      <c r="B413" s="22" t="str">
        <f>_xlfn.IFNA(IF($A413&lt;&gt;"",VLOOKUP($A413,Protocolos!$A$6:$G$9992,2,FALSE),""),"Não localizado")</f>
        <v/>
      </c>
      <c r="C413" s="23" t="str">
        <f>_xlfn.IFNA(IF($A413&lt;&gt;"",VLOOKUP($A413,Protocolos!$A$6:$G$9992,7,FALSE),""),"Não localizado")</f>
        <v/>
      </c>
      <c r="D413" s="23" t="str">
        <f>_xlfn.IFNA(IF($A413&lt;&gt;"",VLOOKUP($A413,Protocolos!$A$6:$G$9992,6,FALSE),""),"Não localizado")</f>
        <v/>
      </c>
      <c r="E413" s="50"/>
    </row>
    <row r="414" spans="1:5" x14ac:dyDescent="0.25">
      <c r="A414" s="25"/>
      <c r="B414" s="22" t="str">
        <f>_xlfn.IFNA(IF($A414&lt;&gt;"",VLOOKUP($A414,Protocolos!$A$6:$G$9992,2,FALSE),""),"Não localizado")</f>
        <v/>
      </c>
      <c r="C414" s="23" t="str">
        <f>_xlfn.IFNA(IF($A414&lt;&gt;"",VLOOKUP($A414,Protocolos!$A$6:$G$9992,7,FALSE),""),"Não localizado")</f>
        <v/>
      </c>
      <c r="D414" s="23" t="str">
        <f>_xlfn.IFNA(IF($A414&lt;&gt;"",VLOOKUP($A414,Protocolos!$A$6:$G$9992,6,FALSE),""),"Não localizado")</f>
        <v/>
      </c>
      <c r="E414" s="50"/>
    </row>
    <row r="415" spans="1:5" x14ac:dyDescent="0.25">
      <c r="A415" s="25"/>
      <c r="B415" s="22" t="str">
        <f>_xlfn.IFNA(IF($A415&lt;&gt;"",VLOOKUP($A415,Protocolos!$A$6:$G$9992,2,FALSE),""),"Não localizado")</f>
        <v/>
      </c>
      <c r="C415" s="23" t="str">
        <f>_xlfn.IFNA(IF($A415&lt;&gt;"",VLOOKUP($A415,Protocolos!$A$6:$G$9992,7,FALSE),""),"Não localizado")</f>
        <v/>
      </c>
      <c r="D415" s="23" t="str">
        <f>_xlfn.IFNA(IF($A415&lt;&gt;"",VLOOKUP($A415,Protocolos!$A$6:$G$9992,6,FALSE),""),"Não localizado")</f>
        <v/>
      </c>
      <c r="E415" s="50"/>
    </row>
    <row r="416" spans="1:5" x14ac:dyDescent="0.25">
      <c r="A416" s="25"/>
      <c r="B416" s="22" t="str">
        <f>_xlfn.IFNA(IF($A416&lt;&gt;"",VLOOKUP($A416,Protocolos!$A$6:$G$9992,2,FALSE),""),"Não localizado")</f>
        <v/>
      </c>
      <c r="C416" s="23" t="str">
        <f>_xlfn.IFNA(IF($A416&lt;&gt;"",VLOOKUP($A416,Protocolos!$A$6:$G$9992,7,FALSE),""),"Não localizado")</f>
        <v/>
      </c>
      <c r="D416" s="23" t="str">
        <f>_xlfn.IFNA(IF($A416&lt;&gt;"",VLOOKUP($A416,Protocolos!$A$6:$G$9992,6,FALSE),""),"Não localizado")</f>
        <v/>
      </c>
      <c r="E416" s="50"/>
    </row>
    <row r="417" spans="1:5" x14ac:dyDescent="0.25">
      <c r="A417" s="25"/>
      <c r="B417" s="22" t="str">
        <f>_xlfn.IFNA(IF($A417&lt;&gt;"",VLOOKUP($A417,Protocolos!$A$6:$G$9992,2,FALSE),""),"Não localizado")</f>
        <v/>
      </c>
      <c r="C417" s="23" t="str">
        <f>_xlfn.IFNA(IF($A417&lt;&gt;"",VLOOKUP($A417,Protocolos!$A$6:$G$9992,7,FALSE),""),"Não localizado")</f>
        <v/>
      </c>
      <c r="D417" s="23" t="str">
        <f>_xlfn.IFNA(IF($A417&lt;&gt;"",VLOOKUP($A417,Protocolos!$A$6:$G$9992,6,FALSE),""),"Não localizado")</f>
        <v/>
      </c>
      <c r="E417" s="50"/>
    </row>
    <row r="418" spans="1:5" x14ac:dyDescent="0.25">
      <c r="A418" s="25"/>
      <c r="B418" s="22" t="str">
        <f>_xlfn.IFNA(IF($A418&lt;&gt;"",VLOOKUP($A418,Protocolos!$A$6:$G$9992,2,FALSE),""),"Não localizado")</f>
        <v/>
      </c>
      <c r="C418" s="23" t="str">
        <f>_xlfn.IFNA(IF($A418&lt;&gt;"",VLOOKUP($A418,Protocolos!$A$6:$G$9992,7,FALSE),""),"Não localizado")</f>
        <v/>
      </c>
      <c r="D418" s="23" t="str">
        <f>_xlfn.IFNA(IF($A418&lt;&gt;"",VLOOKUP($A418,Protocolos!$A$6:$G$9992,6,FALSE),""),"Não localizado")</f>
        <v/>
      </c>
      <c r="E418" s="50"/>
    </row>
    <row r="419" spans="1:5" x14ac:dyDescent="0.25">
      <c r="A419" s="25"/>
      <c r="B419" s="22" t="str">
        <f>_xlfn.IFNA(IF($A419&lt;&gt;"",VLOOKUP($A419,Protocolos!$A$6:$G$9992,2,FALSE),""),"Não localizado")</f>
        <v/>
      </c>
      <c r="C419" s="23" t="str">
        <f>_xlfn.IFNA(IF($A419&lt;&gt;"",VLOOKUP($A419,Protocolos!$A$6:$G$9992,7,FALSE),""),"Não localizado")</f>
        <v/>
      </c>
      <c r="D419" s="23" t="str">
        <f>_xlfn.IFNA(IF($A419&lt;&gt;"",VLOOKUP($A419,Protocolos!$A$6:$G$9992,6,FALSE),""),"Não localizado")</f>
        <v/>
      </c>
      <c r="E419" s="50"/>
    </row>
    <row r="420" spans="1:5" x14ac:dyDescent="0.25">
      <c r="A420" s="25"/>
      <c r="B420" s="22" t="str">
        <f>_xlfn.IFNA(IF($A420&lt;&gt;"",VLOOKUP($A420,Protocolos!$A$6:$G$9992,2,FALSE),""),"Não localizado")</f>
        <v/>
      </c>
      <c r="C420" s="23" t="str">
        <f>_xlfn.IFNA(IF($A420&lt;&gt;"",VLOOKUP($A420,Protocolos!$A$6:$G$9992,7,FALSE),""),"Não localizado")</f>
        <v/>
      </c>
      <c r="D420" s="23" t="str">
        <f>_xlfn.IFNA(IF($A420&lt;&gt;"",VLOOKUP($A420,Protocolos!$A$6:$G$9992,6,FALSE),""),"Não localizado")</f>
        <v/>
      </c>
      <c r="E420" s="50"/>
    </row>
    <row r="421" spans="1:5" x14ac:dyDescent="0.25">
      <c r="A421" s="25"/>
      <c r="B421" s="22" t="str">
        <f>_xlfn.IFNA(IF($A421&lt;&gt;"",VLOOKUP($A421,Protocolos!$A$6:$G$9992,2,FALSE),""),"Não localizado")</f>
        <v/>
      </c>
      <c r="C421" s="23" t="str">
        <f>_xlfn.IFNA(IF($A421&lt;&gt;"",VLOOKUP($A421,Protocolos!$A$6:$G$9992,7,FALSE),""),"Não localizado")</f>
        <v/>
      </c>
      <c r="D421" s="23" t="str">
        <f>_xlfn.IFNA(IF($A421&lt;&gt;"",VLOOKUP($A421,Protocolos!$A$6:$G$9992,6,FALSE),""),"Não localizado")</f>
        <v/>
      </c>
      <c r="E421" s="50"/>
    </row>
    <row r="422" spans="1:5" x14ac:dyDescent="0.25">
      <c r="A422" s="25"/>
      <c r="B422" s="22" t="str">
        <f>_xlfn.IFNA(IF($A422&lt;&gt;"",VLOOKUP($A422,Protocolos!$A$6:$G$9992,2,FALSE),""),"Não localizado")</f>
        <v/>
      </c>
      <c r="C422" s="23" t="str">
        <f>_xlfn.IFNA(IF($A422&lt;&gt;"",VLOOKUP($A422,Protocolos!$A$6:$G$9992,7,FALSE),""),"Não localizado")</f>
        <v/>
      </c>
      <c r="D422" s="23" t="str">
        <f>_xlfn.IFNA(IF($A422&lt;&gt;"",VLOOKUP($A422,Protocolos!$A$6:$G$9992,6,FALSE),""),"Não localizado")</f>
        <v/>
      </c>
      <c r="E422" s="50"/>
    </row>
    <row r="423" spans="1:5" x14ac:dyDescent="0.25">
      <c r="A423" s="25"/>
      <c r="B423" s="22" t="str">
        <f>_xlfn.IFNA(IF($A423&lt;&gt;"",VLOOKUP($A423,Protocolos!$A$6:$G$9992,2,FALSE),""),"Não localizado")</f>
        <v/>
      </c>
      <c r="C423" s="23" t="str">
        <f>_xlfn.IFNA(IF($A423&lt;&gt;"",VLOOKUP($A423,Protocolos!$A$6:$G$9992,7,FALSE),""),"Não localizado")</f>
        <v/>
      </c>
      <c r="D423" s="23" t="str">
        <f>_xlfn.IFNA(IF($A423&lt;&gt;"",VLOOKUP($A423,Protocolos!$A$6:$G$9992,6,FALSE),""),"Não localizado")</f>
        <v/>
      </c>
      <c r="E423" s="50"/>
    </row>
    <row r="424" spans="1:5" x14ac:dyDescent="0.25">
      <c r="A424" s="25"/>
      <c r="B424" s="22" t="str">
        <f>_xlfn.IFNA(IF($A424&lt;&gt;"",VLOOKUP($A424,Protocolos!$A$6:$G$9992,2,FALSE),""),"Não localizado")</f>
        <v/>
      </c>
      <c r="C424" s="23" t="str">
        <f>_xlfn.IFNA(IF($A424&lt;&gt;"",VLOOKUP($A424,Protocolos!$A$6:$G$9992,7,FALSE),""),"Não localizado")</f>
        <v/>
      </c>
      <c r="D424" s="23" t="str">
        <f>_xlfn.IFNA(IF($A424&lt;&gt;"",VLOOKUP($A424,Protocolos!$A$6:$G$9992,6,FALSE),""),"Não localizado")</f>
        <v/>
      </c>
      <c r="E424" s="50"/>
    </row>
    <row r="425" spans="1:5" x14ac:dyDescent="0.25">
      <c r="A425" s="25"/>
      <c r="B425" s="22" t="str">
        <f>_xlfn.IFNA(IF($A425&lt;&gt;"",VLOOKUP($A425,Protocolos!$A$6:$G$9992,2,FALSE),""),"Não localizado")</f>
        <v/>
      </c>
      <c r="C425" s="23" t="str">
        <f>_xlfn.IFNA(IF($A425&lt;&gt;"",VLOOKUP($A425,Protocolos!$A$6:$G$9992,7,FALSE),""),"Não localizado")</f>
        <v/>
      </c>
      <c r="D425" s="23" t="str">
        <f>_xlfn.IFNA(IF($A425&lt;&gt;"",VLOOKUP($A425,Protocolos!$A$6:$G$9992,6,FALSE),""),"Não localizado")</f>
        <v/>
      </c>
      <c r="E425" s="50"/>
    </row>
    <row r="426" spans="1:5" x14ac:dyDescent="0.25">
      <c r="A426" s="25"/>
      <c r="B426" s="22" t="str">
        <f>_xlfn.IFNA(IF($A426&lt;&gt;"",VLOOKUP($A426,Protocolos!$A$6:$G$9992,2,FALSE),""),"Não localizado")</f>
        <v/>
      </c>
      <c r="C426" s="23" t="str">
        <f>_xlfn.IFNA(IF($A426&lt;&gt;"",VLOOKUP($A426,Protocolos!$A$6:$G$9992,7,FALSE),""),"Não localizado")</f>
        <v/>
      </c>
      <c r="D426" s="23" t="str">
        <f>_xlfn.IFNA(IF($A426&lt;&gt;"",VLOOKUP($A426,Protocolos!$A$6:$G$9992,6,FALSE),""),"Não localizado")</f>
        <v/>
      </c>
      <c r="E426" s="50"/>
    </row>
    <row r="427" spans="1:5" x14ac:dyDescent="0.25">
      <c r="A427" s="25"/>
      <c r="B427" s="22" t="str">
        <f>_xlfn.IFNA(IF($A427&lt;&gt;"",VLOOKUP($A427,Protocolos!$A$6:$G$9992,2,FALSE),""),"Não localizado")</f>
        <v/>
      </c>
      <c r="C427" s="23" t="str">
        <f>_xlfn.IFNA(IF($A427&lt;&gt;"",VLOOKUP($A427,Protocolos!$A$6:$G$9992,7,FALSE),""),"Não localizado")</f>
        <v/>
      </c>
      <c r="D427" s="23" t="str">
        <f>_xlfn.IFNA(IF($A427&lt;&gt;"",VLOOKUP($A427,Protocolos!$A$6:$G$9992,6,FALSE),""),"Não localizado")</f>
        <v/>
      </c>
      <c r="E427" s="50"/>
    </row>
    <row r="428" spans="1:5" x14ac:dyDescent="0.25">
      <c r="A428" s="25"/>
      <c r="B428" s="22" t="str">
        <f>_xlfn.IFNA(IF($A428&lt;&gt;"",VLOOKUP($A428,Protocolos!$A$6:$G$9992,2,FALSE),""),"Não localizado")</f>
        <v/>
      </c>
      <c r="C428" s="23" t="str">
        <f>_xlfn.IFNA(IF($A428&lt;&gt;"",VLOOKUP($A428,Protocolos!$A$6:$G$9992,7,FALSE),""),"Não localizado")</f>
        <v/>
      </c>
      <c r="D428" s="23" t="str">
        <f>_xlfn.IFNA(IF($A428&lt;&gt;"",VLOOKUP($A428,Protocolos!$A$6:$G$9992,6,FALSE),""),"Não localizado")</f>
        <v/>
      </c>
      <c r="E428" s="50"/>
    </row>
    <row r="429" spans="1:5" x14ac:dyDescent="0.25">
      <c r="A429" s="25"/>
      <c r="B429" s="22" t="str">
        <f>_xlfn.IFNA(IF($A429&lt;&gt;"",VLOOKUP($A429,Protocolos!$A$6:$G$9992,2,FALSE),""),"Não localizado")</f>
        <v/>
      </c>
      <c r="C429" s="23" t="str">
        <f>_xlfn.IFNA(IF($A429&lt;&gt;"",VLOOKUP($A429,Protocolos!$A$6:$G$9992,7,FALSE),""),"Não localizado")</f>
        <v/>
      </c>
      <c r="D429" s="23" t="str">
        <f>_xlfn.IFNA(IF($A429&lt;&gt;"",VLOOKUP($A429,Protocolos!$A$6:$G$9992,6,FALSE),""),"Não localizado")</f>
        <v/>
      </c>
      <c r="E429" s="50"/>
    </row>
    <row r="430" spans="1:5" x14ac:dyDescent="0.25">
      <c r="A430" s="25"/>
      <c r="B430" s="22" t="str">
        <f>_xlfn.IFNA(IF($A430&lt;&gt;"",VLOOKUP($A430,Protocolos!$A$6:$G$9992,2,FALSE),""),"Não localizado")</f>
        <v/>
      </c>
      <c r="C430" s="23" t="str">
        <f>_xlfn.IFNA(IF($A430&lt;&gt;"",VLOOKUP($A430,Protocolos!$A$6:$G$9992,7,FALSE),""),"Não localizado")</f>
        <v/>
      </c>
      <c r="D430" s="23" t="str">
        <f>_xlfn.IFNA(IF($A430&lt;&gt;"",VLOOKUP($A430,Protocolos!$A$6:$G$9992,6,FALSE),""),"Não localizado")</f>
        <v/>
      </c>
      <c r="E430" s="50"/>
    </row>
    <row r="431" spans="1:5" x14ac:dyDescent="0.25">
      <c r="A431" s="25"/>
      <c r="B431" s="22" t="str">
        <f>_xlfn.IFNA(IF($A431&lt;&gt;"",VLOOKUP($A431,Protocolos!$A$6:$G$9992,2,FALSE),""),"Não localizado")</f>
        <v/>
      </c>
      <c r="C431" s="23" t="str">
        <f>_xlfn.IFNA(IF($A431&lt;&gt;"",VLOOKUP($A431,Protocolos!$A$6:$G$9992,7,FALSE),""),"Não localizado")</f>
        <v/>
      </c>
      <c r="D431" s="23" t="str">
        <f>_xlfn.IFNA(IF($A431&lt;&gt;"",VLOOKUP($A431,Protocolos!$A$6:$G$9992,6,FALSE),""),"Não localizado")</f>
        <v/>
      </c>
      <c r="E431" s="50"/>
    </row>
    <row r="432" spans="1:5" x14ac:dyDescent="0.25">
      <c r="A432" s="25"/>
      <c r="B432" s="22" t="str">
        <f>_xlfn.IFNA(IF($A432&lt;&gt;"",VLOOKUP($A432,Protocolos!$A$6:$G$9992,2,FALSE),""),"Não localizado")</f>
        <v/>
      </c>
      <c r="C432" s="23" t="str">
        <f>_xlfn.IFNA(IF($A432&lt;&gt;"",VLOOKUP($A432,Protocolos!$A$6:$G$9992,7,FALSE),""),"Não localizado")</f>
        <v/>
      </c>
      <c r="D432" s="23" t="str">
        <f>_xlfn.IFNA(IF($A432&lt;&gt;"",VLOOKUP($A432,Protocolos!$A$6:$G$9992,6,FALSE),""),"Não localizado")</f>
        <v/>
      </c>
      <c r="E432" s="50"/>
    </row>
    <row r="433" spans="1:5" x14ac:dyDescent="0.25">
      <c r="A433" s="25"/>
      <c r="B433" s="22" t="str">
        <f>_xlfn.IFNA(IF($A433&lt;&gt;"",VLOOKUP($A433,Protocolos!$A$6:$G$9992,2,FALSE),""),"Não localizado")</f>
        <v/>
      </c>
      <c r="C433" s="23" t="str">
        <f>_xlfn.IFNA(IF($A433&lt;&gt;"",VLOOKUP($A433,Protocolos!$A$6:$G$9992,7,FALSE),""),"Não localizado")</f>
        <v/>
      </c>
      <c r="D433" s="23" t="str">
        <f>_xlfn.IFNA(IF($A433&lt;&gt;"",VLOOKUP($A433,Protocolos!$A$6:$G$9992,6,FALSE),""),"Não localizado")</f>
        <v/>
      </c>
      <c r="E433" s="50"/>
    </row>
    <row r="434" spans="1:5" x14ac:dyDescent="0.25">
      <c r="A434" s="25"/>
      <c r="B434" s="22" t="str">
        <f>_xlfn.IFNA(IF($A434&lt;&gt;"",VLOOKUP($A434,Protocolos!$A$6:$G$9992,2,FALSE),""),"Não localizado")</f>
        <v/>
      </c>
      <c r="C434" s="23" t="str">
        <f>_xlfn.IFNA(IF($A434&lt;&gt;"",VLOOKUP($A434,Protocolos!$A$6:$G$9992,7,FALSE),""),"Não localizado")</f>
        <v/>
      </c>
      <c r="D434" s="23" t="str">
        <f>_xlfn.IFNA(IF($A434&lt;&gt;"",VLOOKUP($A434,Protocolos!$A$6:$G$9992,6,FALSE),""),"Não localizado")</f>
        <v/>
      </c>
      <c r="E434" s="50"/>
    </row>
    <row r="435" spans="1:5" x14ac:dyDescent="0.25">
      <c r="A435" s="25"/>
      <c r="B435" s="22" t="str">
        <f>_xlfn.IFNA(IF($A435&lt;&gt;"",VLOOKUP($A435,Protocolos!$A$6:$G$9992,2,FALSE),""),"Não localizado")</f>
        <v/>
      </c>
      <c r="C435" s="23" t="str">
        <f>_xlfn.IFNA(IF($A435&lt;&gt;"",VLOOKUP($A435,Protocolos!$A$6:$G$9992,7,FALSE),""),"Não localizado")</f>
        <v/>
      </c>
      <c r="D435" s="23" t="str">
        <f>_xlfn.IFNA(IF($A435&lt;&gt;"",VLOOKUP($A435,Protocolos!$A$6:$G$9992,6,FALSE),""),"Não localizado")</f>
        <v/>
      </c>
      <c r="E435" s="50"/>
    </row>
    <row r="436" spans="1:5" x14ac:dyDescent="0.25">
      <c r="A436" s="25"/>
      <c r="B436" s="22" t="str">
        <f>_xlfn.IFNA(IF($A436&lt;&gt;"",VLOOKUP($A436,Protocolos!$A$6:$G$9992,2,FALSE),""),"Não localizado")</f>
        <v/>
      </c>
      <c r="C436" s="23" t="str">
        <f>_xlfn.IFNA(IF($A436&lt;&gt;"",VLOOKUP($A436,Protocolos!$A$6:$G$9992,7,FALSE),""),"Não localizado")</f>
        <v/>
      </c>
      <c r="D436" s="23" t="str">
        <f>_xlfn.IFNA(IF($A436&lt;&gt;"",VLOOKUP($A436,Protocolos!$A$6:$G$9992,6,FALSE),""),"Não localizado")</f>
        <v/>
      </c>
      <c r="E436" s="50"/>
    </row>
    <row r="437" spans="1:5" x14ac:dyDescent="0.25">
      <c r="A437" s="25"/>
      <c r="B437" s="22" t="str">
        <f>_xlfn.IFNA(IF($A437&lt;&gt;"",VLOOKUP($A437,Protocolos!$A$6:$G$9992,2,FALSE),""),"Não localizado")</f>
        <v/>
      </c>
      <c r="C437" s="23" t="str">
        <f>_xlfn.IFNA(IF($A437&lt;&gt;"",VLOOKUP($A437,Protocolos!$A$6:$G$9992,7,FALSE),""),"Não localizado")</f>
        <v/>
      </c>
      <c r="D437" s="23" t="str">
        <f>_xlfn.IFNA(IF($A437&lt;&gt;"",VLOOKUP($A437,Protocolos!$A$6:$G$9992,6,FALSE),""),"Não localizado")</f>
        <v/>
      </c>
      <c r="E437" s="50"/>
    </row>
    <row r="438" spans="1:5" x14ac:dyDescent="0.25">
      <c r="A438" s="25"/>
      <c r="B438" s="22" t="str">
        <f>_xlfn.IFNA(IF($A438&lt;&gt;"",VLOOKUP($A438,Protocolos!$A$6:$G$9992,2,FALSE),""),"Não localizado")</f>
        <v/>
      </c>
      <c r="C438" s="23" t="str">
        <f>_xlfn.IFNA(IF($A438&lt;&gt;"",VLOOKUP($A438,Protocolos!$A$6:$G$9992,7,FALSE),""),"Não localizado")</f>
        <v/>
      </c>
      <c r="D438" s="23" t="str">
        <f>_xlfn.IFNA(IF($A438&lt;&gt;"",VLOOKUP($A438,Protocolos!$A$6:$G$9992,6,FALSE),""),"Não localizado")</f>
        <v/>
      </c>
      <c r="E438" s="50"/>
    </row>
    <row r="439" spans="1:5" x14ac:dyDescent="0.25">
      <c r="A439" s="25"/>
      <c r="B439" s="22" t="str">
        <f>_xlfn.IFNA(IF($A439&lt;&gt;"",VLOOKUP($A439,Protocolos!$A$6:$G$9992,2,FALSE),""),"Não localizado")</f>
        <v/>
      </c>
      <c r="C439" s="23" t="str">
        <f>_xlfn.IFNA(IF($A439&lt;&gt;"",VLOOKUP($A439,Protocolos!$A$6:$G$9992,7,FALSE),""),"Não localizado")</f>
        <v/>
      </c>
      <c r="D439" s="23" t="str">
        <f>_xlfn.IFNA(IF($A439&lt;&gt;"",VLOOKUP($A439,Protocolos!$A$6:$G$9992,6,FALSE),""),"Não localizado")</f>
        <v/>
      </c>
      <c r="E439" s="50"/>
    </row>
    <row r="440" spans="1:5" x14ac:dyDescent="0.25">
      <c r="A440" s="25"/>
      <c r="B440" s="22" t="str">
        <f>_xlfn.IFNA(IF($A440&lt;&gt;"",VLOOKUP($A440,Protocolos!$A$6:$G$9992,2,FALSE),""),"Não localizado")</f>
        <v/>
      </c>
      <c r="C440" s="23" t="str">
        <f>_xlfn.IFNA(IF($A440&lt;&gt;"",VLOOKUP($A440,Protocolos!$A$6:$G$9992,7,FALSE),""),"Não localizado")</f>
        <v/>
      </c>
      <c r="D440" s="23" t="str">
        <f>_xlfn.IFNA(IF($A440&lt;&gt;"",VLOOKUP($A440,Protocolos!$A$6:$G$9992,6,FALSE),""),"Não localizado")</f>
        <v/>
      </c>
      <c r="E440" s="50"/>
    </row>
    <row r="441" spans="1:5" x14ac:dyDescent="0.25">
      <c r="A441" s="25"/>
      <c r="B441" s="22" t="str">
        <f>_xlfn.IFNA(IF($A441&lt;&gt;"",VLOOKUP($A441,Protocolos!$A$6:$G$9992,2,FALSE),""),"Não localizado")</f>
        <v/>
      </c>
      <c r="C441" s="23" t="str">
        <f>_xlfn.IFNA(IF($A441&lt;&gt;"",VLOOKUP($A441,Protocolos!$A$6:$G$9992,7,FALSE),""),"Não localizado")</f>
        <v/>
      </c>
      <c r="D441" s="23" t="str">
        <f>_xlfn.IFNA(IF($A441&lt;&gt;"",VLOOKUP($A441,Protocolos!$A$6:$G$9992,6,FALSE),""),"Não localizado")</f>
        <v/>
      </c>
      <c r="E441" s="50"/>
    </row>
    <row r="442" spans="1:5" x14ac:dyDescent="0.25">
      <c r="A442" s="25"/>
      <c r="B442" s="22" t="str">
        <f>_xlfn.IFNA(IF($A442&lt;&gt;"",VLOOKUP($A442,Protocolos!$A$6:$G$9992,2,FALSE),""),"Não localizado")</f>
        <v/>
      </c>
      <c r="C442" s="23" t="str">
        <f>_xlfn.IFNA(IF($A442&lt;&gt;"",VLOOKUP($A442,Protocolos!$A$6:$G$9992,7,FALSE),""),"Não localizado")</f>
        <v/>
      </c>
      <c r="D442" s="23" t="str">
        <f>_xlfn.IFNA(IF($A442&lt;&gt;"",VLOOKUP($A442,Protocolos!$A$6:$G$9992,6,FALSE),""),"Não localizado")</f>
        <v/>
      </c>
      <c r="E442" s="50"/>
    </row>
    <row r="443" spans="1:5" x14ac:dyDescent="0.25">
      <c r="A443" s="25"/>
      <c r="B443" s="22" t="str">
        <f>_xlfn.IFNA(IF($A443&lt;&gt;"",VLOOKUP($A443,Protocolos!$A$6:$G$9992,2,FALSE),""),"Não localizado")</f>
        <v/>
      </c>
      <c r="C443" s="23" t="str">
        <f>_xlfn.IFNA(IF($A443&lt;&gt;"",VLOOKUP($A443,Protocolos!$A$6:$G$9992,7,FALSE),""),"Não localizado")</f>
        <v/>
      </c>
      <c r="D443" s="23" t="str">
        <f>_xlfn.IFNA(IF($A443&lt;&gt;"",VLOOKUP($A443,Protocolos!$A$6:$G$9992,6,FALSE),""),"Não localizado")</f>
        <v/>
      </c>
      <c r="E443" s="50"/>
    </row>
    <row r="444" spans="1:5" x14ac:dyDescent="0.25">
      <c r="A444" s="25"/>
      <c r="B444" s="22" t="str">
        <f>_xlfn.IFNA(IF($A444&lt;&gt;"",VLOOKUP($A444,Protocolos!$A$6:$G$9992,2,FALSE),""),"Não localizado")</f>
        <v/>
      </c>
      <c r="C444" s="23" t="str">
        <f>_xlfn.IFNA(IF($A444&lt;&gt;"",VLOOKUP($A444,Protocolos!$A$6:$G$9992,7,FALSE),""),"Não localizado")</f>
        <v/>
      </c>
      <c r="D444" s="23" t="str">
        <f>_xlfn.IFNA(IF($A444&lt;&gt;"",VLOOKUP($A444,Protocolos!$A$6:$G$9992,6,FALSE),""),"Não localizado")</f>
        <v/>
      </c>
      <c r="E444" s="50"/>
    </row>
    <row r="445" spans="1:5" x14ac:dyDescent="0.25">
      <c r="A445" s="25"/>
      <c r="B445" s="22" t="str">
        <f>_xlfn.IFNA(IF($A445&lt;&gt;"",VLOOKUP($A445,Protocolos!$A$6:$G$9992,2,FALSE),""),"Não localizado")</f>
        <v/>
      </c>
      <c r="C445" s="23" t="str">
        <f>_xlfn.IFNA(IF($A445&lt;&gt;"",VLOOKUP($A445,Protocolos!$A$6:$G$9992,7,FALSE),""),"Não localizado")</f>
        <v/>
      </c>
      <c r="D445" s="23" t="str">
        <f>_xlfn.IFNA(IF($A445&lt;&gt;"",VLOOKUP($A445,Protocolos!$A$6:$G$9992,6,FALSE),""),"Não localizado")</f>
        <v/>
      </c>
      <c r="E445" s="50"/>
    </row>
    <row r="446" spans="1:5" x14ac:dyDescent="0.25">
      <c r="A446" s="25"/>
      <c r="B446" s="22" t="str">
        <f>_xlfn.IFNA(IF($A446&lt;&gt;"",VLOOKUP($A446,Protocolos!$A$6:$G$9992,2,FALSE),""),"Não localizado")</f>
        <v/>
      </c>
      <c r="C446" s="23" t="str">
        <f>_xlfn.IFNA(IF($A446&lt;&gt;"",VLOOKUP($A446,Protocolos!$A$6:$G$9992,7,FALSE),""),"Não localizado")</f>
        <v/>
      </c>
      <c r="D446" s="23" t="str">
        <f>_xlfn.IFNA(IF($A446&lt;&gt;"",VLOOKUP($A446,Protocolos!$A$6:$G$9992,6,FALSE),""),"Não localizado")</f>
        <v/>
      </c>
      <c r="E446" s="50"/>
    </row>
    <row r="447" spans="1:5" x14ac:dyDescent="0.25">
      <c r="A447" s="25"/>
      <c r="B447" s="22" t="str">
        <f>_xlfn.IFNA(IF($A447&lt;&gt;"",VLOOKUP($A447,Protocolos!$A$6:$G$9992,2,FALSE),""),"Não localizado")</f>
        <v/>
      </c>
      <c r="C447" s="23" t="str">
        <f>_xlfn.IFNA(IF($A447&lt;&gt;"",VLOOKUP($A447,Protocolos!$A$6:$G$9992,7,FALSE),""),"Não localizado")</f>
        <v/>
      </c>
      <c r="D447" s="23" t="str">
        <f>_xlfn.IFNA(IF($A447&lt;&gt;"",VLOOKUP($A447,Protocolos!$A$6:$G$9992,6,FALSE),""),"Não localizado")</f>
        <v/>
      </c>
      <c r="E447" s="50"/>
    </row>
    <row r="448" spans="1:5" x14ac:dyDescent="0.25">
      <c r="A448" s="25"/>
      <c r="B448" s="22" t="str">
        <f>_xlfn.IFNA(IF($A448&lt;&gt;"",VLOOKUP($A448,Protocolos!$A$6:$G$9992,2,FALSE),""),"Não localizado")</f>
        <v/>
      </c>
      <c r="C448" s="23" t="str">
        <f>_xlfn.IFNA(IF($A448&lt;&gt;"",VLOOKUP($A448,Protocolos!$A$6:$G$9992,7,FALSE),""),"Não localizado")</f>
        <v/>
      </c>
      <c r="D448" s="23" t="str">
        <f>_xlfn.IFNA(IF($A448&lt;&gt;"",VLOOKUP($A448,Protocolos!$A$6:$G$9992,6,FALSE),""),"Não localizado")</f>
        <v/>
      </c>
      <c r="E448" s="50"/>
    </row>
    <row r="449" spans="1:5" x14ac:dyDescent="0.25">
      <c r="A449" s="25"/>
      <c r="B449" s="22" t="str">
        <f>_xlfn.IFNA(IF($A449&lt;&gt;"",VLOOKUP($A449,Protocolos!$A$6:$G$9992,2,FALSE),""),"Não localizado")</f>
        <v/>
      </c>
      <c r="C449" s="23" t="str">
        <f>_xlfn.IFNA(IF($A449&lt;&gt;"",VLOOKUP($A449,Protocolos!$A$6:$G$9992,7,FALSE),""),"Não localizado")</f>
        <v/>
      </c>
      <c r="D449" s="23" t="str">
        <f>_xlfn.IFNA(IF($A449&lt;&gt;"",VLOOKUP($A449,Protocolos!$A$6:$G$9992,6,FALSE),""),"Não localizado")</f>
        <v/>
      </c>
      <c r="E449" s="50"/>
    </row>
    <row r="450" spans="1:5" x14ac:dyDescent="0.25">
      <c r="A450" s="25"/>
      <c r="B450" s="22" t="str">
        <f>_xlfn.IFNA(IF($A450&lt;&gt;"",VLOOKUP($A450,Protocolos!$A$6:$G$9992,2,FALSE),""),"Não localizado")</f>
        <v/>
      </c>
      <c r="C450" s="23" t="str">
        <f>_xlfn.IFNA(IF($A450&lt;&gt;"",VLOOKUP($A450,Protocolos!$A$6:$G$9992,7,FALSE),""),"Não localizado")</f>
        <v/>
      </c>
      <c r="D450" s="23" t="str">
        <f>_xlfn.IFNA(IF($A450&lt;&gt;"",VLOOKUP($A450,Protocolos!$A$6:$G$9992,6,FALSE),""),"Não localizado")</f>
        <v/>
      </c>
      <c r="E450" s="50"/>
    </row>
    <row r="451" spans="1:5" x14ac:dyDescent="0.25">
      <c r="A451" s="25"/>
      <c r="B451" s="22" t="str">
        <f>_xlfn.IFNA(IF($A451&lt;&gt;"",VLOOKUP($A451,Protocolos!$A$6:$G$9992,2,FALSE),""),"Não localizado")</f>
        <v/>
      </c>
      <c r="C451" s="23" t="str">
        <f>_xlfn.IFNA(IF($A451&lt;&gt;"",VLOOKUP($A451,Protocolos!$A$6:$G$9992,7,FALSE),""),"Não localizado")</f>
        <v/>
      </c>
      <c r="D451" s="23" t="str">
        <f>_xlfn.IFNA(IF($A451&lt;&gt;"",VLOOKUP($A451,Protocolos!$A$6:$G$9992,6,FALSE),""),"Não localizado")</f>
        <v/>
      </c>
      <c r="E451" s="50"/>
    </row>
    <row r="452" spans="1:5" x14ac:dyDescent="0.25">
      <c r="A452" s="25"/>
      <c r="B452" s="22" t="str">
        <f>_xlfn.IFNA(IF($A452&lt;&gt;"",VLOOKUP($A452,Protocolos!$A$6:$G$9992,2,FALSE),""),"Não localizado")</f>
        <v/>
      </c>
      <c r="C452" s="23" t="str">
        <f>_xlfn.IFNA(IF($A452&lt;&gt;"",VLOOKUP($A452,Protocolos!$A$6:$G$9992,7,FALSE),""),"Não localizado")</f>
        <v/>
      </c>
      <c r="D452" s="23" t="str">
        <f>_xlfn.IFNA(IF($A452&lt;&gt;"",VLOOKUP($A452,Protocolos!$A$6:$G$9992,6,FALSE),""),"Não localizado")</f>
        <v/>
      </c>
      <c r="E452" s="50"/>
    </row>
    <row r="453" spans="1:5" x14ac:dyDescent="0.25">
      <c r="A453" s="25"/>
      <c r="B453" s="22" t="str">
        <f>_xlfn.IFNA(IF($A453&lt;&gt;"",VLOOKUP($A453,Protocolos!$A$6:$G$9992,2,FALSE),""),"Não localizado")</f>
        <v/>
      </c>
      <c r="C453" s="23" t="str">
        <f>_xlfn.IFNA(IF($A453&lt;&gt;"",VLOOKUP($A453,Protocolos!$A$6:$G$9992,7,FALSE),""),"Não localizado")</f>
        <v/>
      </c>
      <c r="D453" s="23" t="str">
        <f>_xlfn.IFNA(IF($A453&lt;&gt;"",VLOOKUP($A453,Protocolos!$A$6:$G$9992,6,FALSE),""),"Não localizado")</f>
        <v/>
      </c>
      <c r="E453" s="50"/>
    </row>
    <row r="454" spans="1:5" x14ac:dyDescent="0.25">
      <c r="A454" s="25"/>
      <c r="B454" s="22" t="str">
        <f>_xlfn.IFNA(IF($A454&lt;&gt;"",VLOOKUP($A454,Protocolos!$A$6:$G$9992,2,FALSE),""),"Não localizado")</f>
        <v/>
      </c>
      <c r="C454" s="23" t="str">
        <f>_xlfn.IFNA(IF($A454&lt;&gt;"",VLOOKUP($A454,Protocolos!$A$6:$G$9992,7,FALSE),""),"Não localizado")</f>
        <v/>
      </c>
      <c r="D454" s="23" t="str">
        <f>_xlfn.IFNA(IF($A454&lt;&gt;"",VLOOKUP($A454,Protocolos!$A$6:$G$9992,6,FALSE),""),"Não localizado")</f>
        <v/>
      </c>
      <c r="E454" s="50"/>
    </row>
    <row r="455" spans="1:5" x14ac:dyDescent="0.25">
      <c r="A455" s="25"/>
      <c r="B455" s="22" t="str">
        <f>_xlfn.IFNA(IF($A455&lt;&gt;"",VLOOKUP($A455,Protocolos!$A$6:$G$9992,2,FALSE),""),"Não localizado")</f>
        <v/>
      </c>
      <c r="C455" s="23" t="str">
        <f>_xlfn.IFNA(IF($A455&lt;&gt;"",VLOOKUP($A455,Protocolos!$A$6:$G$9992,7,FALSE),""),"Não localizado")</f>
        <v/>
      </c>
      <c r="D455" s="23" t="str">
        <f>_xlfn.IFNA(IF($A455&lt;&gt;"",VLOOKUP($A455,Protocolos!$A$6:$G$9992,6,FALSE),""),"Não localizado")</f>
        <v/>
      </c>
      <c r="E455" s="50"/>
    </row>
    <row r="456" spans="1:5" x14ac:dyDescent="0.25">
      <c r="A456" s="25"/>
      <c r="B456" s="22" t="str">
        <f>_xlfn.IFNA(IF($A456&lt;&gt;"",VLOOKUP($A456,Protocolos!$A$6:$G$9992,2,FALSE),""),"Não localizado")</f>
        <v/>
      </c>
      <c r="C456" s="23" t="str">
        <f>_xlfn.IFNA(IF($A456&lt;&gt;"",VLOOKUP($A456,Protocolos!$A$6:$G$9992,7,FALSE),""),"Não localizado")</f>
        <v/>
      </c>
      <c r="D456" s="23" t="str">
        <f>_xlfn.IFNA(IF($A456&lt;&gt;"",VLOOKUP($A456,Protocolos!$A$6:$G$9992,6,FALSE),""),"Não localizado")</f>
        <v/>
      </c>
      <c r="E456" s="50"/>
    </row>
    <row r="457" spans="1:5" x14ac:dyDescent="0.25">
      <c r="A457" s="25"/>
      <c r="B457" s="22" t="str">
        <f>_xlfn.IFNA(IF($A457&lt;&gt;"",VLOOKUP($A457,Protocolos!$A$6:$G$9992,2,FALSE),""),"Não localizado")</f>
        <v/>
      </c>
      <c r="C457" s="23" t="str">
        <f>_xlfn.IFNA(IF($A457&lt;&gt;"",VLOOKUP($A457,Protocolos!$A$6:$G$9992,7,FALSE),""),"Não localizado")</f>
        <v/>
      </c>
      <c r="D457" s="23" t="str">
        <f>_xlfn.IFNA(IF($A457&lt;&gt;"",VLOOKUP($A457,Protocolos!$A$6:$G$9992,6,FALSE),""),"Não localizado")</f>
        <v/>
      </c>
      <c r="E457" s="50"/>
    </row>
    <row r="458" spans="1:5" x14ac:dyDescent="0.25">
      <c r="A458" s="25"/>
      <c r="B458" s="22" t="str">
        <f>_xlfn.IFNA(IF($A458&lt;&gt;"",VLOOKUP($A458,Protocolos!$A$6:$G$9992,2,FALSE),""),"Não localizado")</f>
        <v/>
      </c>
      <c r="C458" s="23" t="str">
        <f>_xlfn.IFNA(IF($A458&lt;&gt;"",VLOOKUP($A458,Protocolos!$A$6:$G$9992,7,FALSE),""),"Não localizado")</f>
        <v/>
      </c>
      <c r="D458" s="23" t="str">
        <f>_xlfn.IFNA(IF($A458&lt;&gt;"",VLOOKUP($A458,Protocolos!$A$6:$G$9992,6,FALSE),""),"Não localizado")</f>
        <v/>
      </c>
      <c r="E458" s="50"/>
    </row>
    <row r="459" spans="1:5" x14ac:dyDescent="0.25">
      <c r="A459" s="25"/>
      <c r="B459" s="22" t="str">
        <f>_xlfn.IFNA(IF($A459&lt;&gt;"",VLOOKUP($A459,Protocolos!$A$6:$G$9992,2,FALSE),""),"Não localizado")</f>
        <v/>
      </c>
      <c r="C459" s="23" t="str">
        <f>_xlfn.IFNA(IF($A459&lt;&gt;"",VLOOKUP($A459,Protocolos!$A$6:$G$9992,7,FALSE),""),"Não localizado")</f>
        <v/>
      </c>
      <c r="D459" s="23" t="str">
        <f>_xlfn.IFNA(IF($A459&lt;&gt;"",VLOOKUP($A459,Protocolos!$A$6:$G$9992,6,FALSE),""),"Não localizado")</f>
        <v/>
      </c>
      <c r="E459" s="50"/>
    </row>
    <row r="460" spans="1:5" x14ac:dyDescent="0.25">
      <c r="A460" s="25"/>
      <c r="B460" s="22" t="str">
        <f>_xlfn.IFNA(IF($A460&lt;&gt;"",VLOOKUP($A460,Protocolos!$A$6:$G$9992,2,FALSE),""),"Não localizado")</f>
        <v/>
      </c>
      <c r="C460" s="23" t="str">
        <f>_xlfn.IFNA(IF($A460&lt;&gt;"",VLOOKUP($A460,Protocolos!$A$6:$G$9992,7,FALSE),""),"Não localizado")</f>
        <v/>
      </c>
      <c r="D460" s="23" t="str">
        <f>_xlfn.IFNA(IF($A460&lt;&gt;"",VLOOKUP($A460,Protocolos!$A$6:$G$9992,6,FALSE),""),"Não localizado")</f>
        <v/>
      </c>
      <c r="E460" s="50"/>
    </row>
    <row r="461" spans="1:5" x14ac:dyDescent="0.25">
      <c r="A461" s="25"/>
      <c r="B461" s="22" t="str">
        <f>_xlfn.IFNA(IF($A461&lt;&gt;"",VLOOKUP($A461,Protocolos!$A$6:$G$9992,2,FALSE),""),"Não localizado")</f>
        <v/>
      </c>
      <c r="C461" s="23" t="str">
        <f>_xlfn.IFNA(IF($A461&lt;&gt;"",VLOOKUP($A461,Protocolos!$A$6:$G$9992,7,FALSE),""),"Não localizado")</f>
        <v/>
      </c>
      <c r="D461" s="23" t="str">
        <f>_xlfn.IFNA(IF($A461&lt;&gt;"",VLOOKUP($A461,Protocolos!$A$6:$G$9992,6,FALSE),""),"Não localizado")</f>
        <v/>
      </c>
      <c r="E461" s="50"/>
    </row>
    <row r="462" spans="1:5" x14ac:dyDescent="0.25">
      <c r="A462" s="25"/>
      <c r="B462" s="22" t="str">
        <f>_xlfn.IFNA(IF($A462&lt;&gt;"",VLOOKUP($A462,Protocolos!$A$6:$G$9992,2,FALSE),""),"Não localizado")</f>
        <v/>
      </c>
      <c r="C462" s="23" t="str">
        <f>_xlfn.IFNA(IF($A462&lt;&gt;"",VLOOKUP($A462,Protocolos!$A$6:$G$9992,7,FALSE),""),"Não localizado")</f>
        <v/>
      </c>
      <c r="D462" s="23" t="str">
        <f>_xlfn.IFNA(IF($A462&lt;&gt;"",VLOOKUP($A462,Protocolos!$A$6:$G$9992,6,FALSE),""),"Não localizado")</f>
        <v/>
      </c>
      <c r="E462" s="50"/>
    </row>
    <row r="463" spans="1:5" x14ac:dyDescent="0.25">
      <c r="A463" s="25"/>
      <c r="B463" s="22" t="str">
        <f>_xlfn.IFNA(IF($A463&lt;&gt;"",VLOOKUP($A463,Protocolos!$A$6:$G$9992,2,FALSE),""),"Não localizado")</f>
        <v/>
      </c>
      <c r="C463" s="23" t="str">
        <f>_xlfn.IFNA(IF($A463&lt;&gt;"",VLOOKUP($A463,Protocolos!$A$6:$G$9992,7,FALSE),""),"Não localizado")</f>
        <v/>
      </c>
      <c r="D463" s="23" t="str">
        <f>_xlfn.IFNA(IF($A463&lt;&gt;"",VLOOKUP($A463,Protocolos!$A$6:$G$9992,6,FALSE),""),"Não localizado")</f>
        <v/>
      </c>
      <c r="E463" s="50"/>
    </row>
    <row r="464" spans="1:5" x14ac:dyDescent="0.25">
      <c r="A464" s="25"/>
      <c r="B464" s="22" t="str">
        <f>_xlfn.IFNA(IF($A464&lt;&gt;"",VLOOKUP($A464,Protocolos!$A$6:$G$9992,2,FALSE),""),"Não localizado")</f>
        <v/>
      </c>
      <c r="C464" s="23" t="str">
        <f>_xlfn.IFNA(IF($A464&lt;&gt;"",VLOOKUP($A464,Protocolos!$A$6:$G$9992,7,FALSE),""),"Não localizado")</f>
        <v/>
      </c>
      <c r="D464" s="23" t="str">
        <f>_xlfn.IFNA(IF($A464&lt;&gt;"",VLOOKUP($A464,Protocolos!$A$6:$G$9992,6,FALSE),""),"Não localizado")</f>
        <v/>
      </c>
      <c r="E464" s="50"/>
    </row>
    <row r="465" spans="1:5" x14ac:dyDescent="0.25">
      <c r="A465" s="25"/>
      <c r="B465" s="22" t="str">
        <f>_xlfn.IFNA(IF($A465&lt;&gt;"",VLOOKUP($A465,Protocolos!$A$6:$G$9992,2,FALSE),""),"Não localizado")</f>
        <v/>
      </c>
      <c r="C465" s="23" t="str">
        <f>_xlfn.IFNA(IF($A465&lt;&gt;"",VLOOKUP($A465,Protocolos!$A$6:$G$9992,7,FALSE),""),"Não localizado")</f>
        <v/>
      </c>
      <c r="D465" s="23" t="str">
        <f>_xlfn.IFNA(IF($A465&lt;&gt;"",VLOOKUP($A465,Protocolos!$A$6:$G$9992,6,FALSE),""),"Não localizado")</f>
        <v/>
      </c>
      <c r="E465" s="50"/>
    </row>
    <row r="466" spans="1:5" x14ac:dyDescent="0.25">
      <c r="A466" s="25"/>
      <c r="B466" s="22" t="str">
        <f>_xlfn.IFNA(IF($A466&lt;&gt;"",VLOOKUP($A466,Protocolos!$A$6:$G$9992,2,FALSE),""),"Não localizado")</f>
        <v/>
      </c>
      <c r="C466" s="23" t="str">
        <f>_xlfn.IFNA(IF($A466&lt;&gt;"",VLOOKUP($A466,Protocolos!$A$6:$G$9992,7,FALSE),""),"Não localizado")</f>
        <v/>
      </c>
      <c r="D466" s="23" t="str">
        <f>_xlfn.IFNA(IF($A466&lt;&gt;"",VLOOKUP($A466,Protocolos!$A$6:$G$9992,6,FALSE),""),"Não localizado")</f>
        <v/>
      </c>
      <c r="E466" s="50"/>
    </row>
    <row r="467" spans="1:5" x14ac:dyDescent="0.25">
      <c r="A467" s="25"/>
      <c r="B467" s="22" t="str">
        <f>_xlfn.IFNA(IF($A467&lt;&gt;"",VLOOKUP($A467,Protocolos!$A$6:$G$9992,2,FALSE),""),"Não localizado")</f>
        <v/>
      </c>
      <c r="C467" s="23" t="str">
        <f>_xlfn.IFNA(IF($A467&lt;&gt;"",VLOOKUP($A467,Protocolos!$A$6:$G$9992,7,FALSE),""),"Não localizado")</f>
        <v/>
      </c>
      <c r="D467" s="23" t="str">
        <f>_xlfn.IFNA(IF($A467&lt;&gt;"",VLOOKUP($A467,Protocolos!$A$6:$G$9992,6,FALSE),""),"Não localizado")</f>
        <v/>
      </c>
      <c r="E467" s="50"/>
    </row>
    <row r="468" spans="1:5" x14ac:dyDescent="0.25">
      <c r="A468" s="25"/>
      <c r="B468" s="22" t="str">
        <f>_xlfn.IFNA(IF($A468&lt;&gt;"",VLOOKUP($A468,Protocolos!$A$6:$G$9992,2,FALSE),""),"Não localizado")</f>
        <v/>
      </c>
      <c r="C468" s="23" t="str">
        <f>_xlfn.IFNA(IF($A468&lt;&gt;"",VLOOKUP($A468,Protocolos!$A$6:$G$9992,7,FALSE),""),"Não localizado")</f>
        <v/>
      </c>
      <c r="D468" s="23" t="str">
        <f>_xlfn.IFNA(IF($A468&lt;&gt;"",VLOOKUP($A468,Protocolos!$A$6:$G$9992,6,FALSE),""),"Não localizado")</f>
        <v/>
      </c>
      <c r="E468" s="50"/>
    </row>
    <row r="469" spans="1:5" x14ac:dyDescent="0.25">
      <c r="A469" s="25"/>
      <c r="B469" s="22" t="str">
        <f>_xlfn.IFNA(IF($A469&lt;&gt;"",VLOOKUP($A469,Protocolos!$A$6:$G$9992,2,FALSE),""),"Não localizado")</f>
        <v/>
      </c>
      <c r="C469" s="23" t="str">
        <f>_xlfn.IFNA(IF($A469&lt;&gt;"",VLOOKUP($A469,Protocolos!$A$6:$G$9992,7,FALSE),""),"Não localizado")</f>
        <v/>
      </c>
      <c r="D469" s="23" t="str">
        <f>_xlfn.IFNA(IF($A469&lt;&gt;"",VLOOKUP($A469,Protocolos!$A$6:$G$9992,6,FALSE),""),"Não localizado")</f>
        <v/>
      </c>
      <c r="E469" s="50"/>
    </row>
    <row r="470" spans="1:5" x14ac:dyDescent="0.25">
      <c r="A470" s="25"/>
      <c r="B470" s="22" t="str">
        <f>_xlfn.IFNA(IF($A470&lt;&gt;"",VLOOKUP($A470,Protocolos!$A$6:$G$9992,2,FALSE),""),"Não localizado")</f>
        <v/>
      </c>
      <c r="C470" s="23" t="str">
        <f>_xlfn.IFNA(IF($A470&lt;&gt;"",VLOOKUP($A470,Protocolos!$A$6:$G$9992,7,FALSE),""),"Não localizado")</f>
        <v/>
      </c>
      <c r="D470" s="23" t="str">
        <f>_xlfn.IFNA(IF($A470&lt;&gt;"",VLOOKUP($A470,Protocolos!$A$6:$G$9992,6,FALSE),""),"Não localizado")</f>
        <v/>
      </c>
      <c r="E470" s="50"/>
    </row>
    <row r="471" spans="1:5" x14ac:dyDescent="0.25">
      <c r="A471" s="25"/>
      <c r="B471" s="22" t="str">
        <f>_xlfn.IFNA(IF($A471&lt;&gt;"",VLOOKUP($A471,Protocolos!$A$6:$G$9992,2,FALSE),""),"Não localizado")</f>
        <v/>
      </c>
      <c r="C471" s="23" t="str">
        <f>_xlfn.IFNA(IF($A471&lt;&gt;"",VLOOKUP($A471,Protocolos!$A$6:$G$9992,7,FALSE),""),"Não localizado")</f>
        <v/>
      </c>
      <c r="D471" s="23" t="str">
        <f>_xlfn.IFNA(IF($A471&lt;&gt;"",VLOOKUP($A471,Protocolos!$A$6:$G$9992,6,FALSE),""),"Não localizado")</f>
        <v/>
      </c>
      <c r="E471" s="50"/>
    </row>
    <row r="472" spans="1:5" x14ac:dyDescent="0.25">
      <c r="A472" s="25"/>
      <c r="B472" s="22" t="str">
        <f>_xlfn.IFNA(IF($A472&lt;&gt;"",VLOOKUP($A472,Protocolos!$A$6:$G$9992,2,FALSE),""),"Não localizado")</f>
        <v/>
      </c>
      <c r="C472" s="23" t="str">
        <f>_xlfn.IFNA(IF($A472&lt;&gt;"",VLOOKUP($A472,Protocolos!$A$6:$G$9992,7,FALSE),""),"Não localizado")</f>
        <v/>
      </c>
      <c r="D472" s="23" t="str">
        <f>_xlfn.IFNA(IF($A472&lt;&gt;"",VLOOKUP($A472,Protocolos!$A$6:$G$9992,6,FALSE),""),"Não localizado")</f>
        <v/>
      </c>
      <c r="E472" s="50"/>
    </row>
    <row r="473" spans="1:5" x14ac:dyDescent="0.25">
      <c r="A473" s="25"/>
      <c r="B473" s="22" t="str">
        <f>_xlfn.IFNA(IF($A473&lt;&gt;"",VLOOKUP($A473,Protocolos!$A$6:$G$9992,2,FALSE),""),"Não localizado")</f>
        <v/>
      </c>
      <c r="C473" s="23" t="str">
        <f>_xlfn.IFNA(IF($A473&lt;&gt;"",VLOOKUP($A473,Protocolos!$A$6:$G$9992,7,FALSE),""),"Não localizado")</f>
        <v/>
      </c>
      <c r="D473" s="23" t="str">
        <f>_xlfn.IFNA(IF($A473&lt;&gt;"",VLOOKUP($A473,Protocolos!$A$6:$G$9992,6,FALSE),""),"Não localizado")</f>
        <v/>
      </c>
      <c r="E473" s="50"/>
    </row>
    <row r="474" spans="1:5" x14ac:dyDescent="0.25">
      <c r="A474" s="25"/>
      <c r="B474" s="22" t="str">
        <f>_xlfn.IFNA(IF($A474&lt;&gt;"",VLOOKUP($A474,Protocolos!$A$6:$G$9992,2,FALSE),""),"Não localizado")</f>
        <v/>
      </c>
      <c r="C474" s="23" t="str">
        <f>_xlfn.IFNA(IF($A474&lt;&gt;"",VLOOKUP($A474,Protocolos!$A$6:$G$9992,7,FALSE),""),"Não localizado")</f>
        <v/>
      </c>
      <c r="D474" s="23" t="str">
        <f>_xlfn.IFNA(IF($A474&lt;&gt;"",VLOOKUP($A474,Protocolos!$A$6:$G$9992,6,FALSE),""),"Não localizado")</f>
        <v/>
      </c>
      <c r="E474" s="50"/>
    </row>
    <row r="475" spans="1:5" x14ac:dyDescent="0.25">
      <c r="A475" s="25"/>
      <c r="B475" s="22" t="str">
        <f>_xlfn.IFNA(IF($A475&lt;&gt;"",VLOOKUP($A475,Protocolos!$A$6:$G$9992,2,FALSE),""),"Não localizado")</f>
        <v/>
      </c>
      <c r="C475" s="23" t="str">
        <f>_xlfn.IFNA(IF($A475&lt;&gt;"",VLOOKUP($A475,Protocolos!$A$6:$G$9992,7,FALSE),""),"Não localizado")</f>
        <v/>
      </c>
      <c r="D475" s="23" t="str">
        <f>_xlfn.IFNA(IF($A475&lt;&gt;"",VLOOKUP($A475,Protocolos!$A$6:$G$9992,6,FALSE),""),"Não localizado")</f>
        <v/>
      </c>
      <c r="E475" s="50"/>
    </row>
    <row r="476" spans="1:5" x14ac:dyDescent="0.25">
      <c r="A476" s="25"/>
      <c r="B476" s="22" t="str">
        <f>_xlfn.IFNA(IF($A476&lt;&gt;"",VLOOKUP($A476,Protocolos!$A$6:$G$9992,2,FALSE),""),"Não localizado")</f>
        <v/>
      </c>
      <c r="C476" s="23" t="str">
        <f>_xlfn.IFNA(IF($A476&lt;&gt;"",VLOOKUP($A476,Protocolos!$A$6:$G$9992,7,FALSE),""),"Não localizado")</f>
        <v/>
      </c>
      <c r="D476" s="23" t="str">
        <f>_xlfn.IFNA(IF($A476&lt;&gt;"",VLOOKUP($A476,Protocolos!$A$6:$G$9992,6,FALSE),""),"Não localizado")</f>
        <v/>
      </c>
      <c r="E476" s="50"/>
    </row>
    <row r="477" spans="1:5" x14ac:dyDescent="0.25">
      <c r="A477" s="25"/>
      <c r="B477" s="22" t="str">
        <f>_xlfn.IFNA(IF($A477&lt;&gt;"",VLOOKUP($A477,Protocolos!$A$6:$G$9992,2,FALSE),""),"Não localizado")</f>
        <v/>
      </c>
      <c r="C477" s="23" t="str">
        <f>_xlfn.IFNA(IF($A477&lt;&gt;"",VLOOKUP($A477,Protocolos!$A$6:$G$9992,7,FALSE),""),"Não localizado")</f>
        <v/>
      </c>
      <c r="D477" s="23" t="str">
        <f>_xlfn.IFNA(IF($A477&lt;&gt;"",VLOOKUP($A477,Protocolos!$A$6:$G$9992,6,FALSE),""),"Não localizado")</f>
        <v/>
      </c>
      <c r="E477" s="50"/>
    </row>
    <row r="478" spans="1:5" x14ac:dyDescent="0.25">
      <c r="A478" s="25"/>
      <c r="B478" s="22" t="str">
        <f>_xlfn.IFNA(IF($A478&lt;&gt;"",VLOOKUP($A478,Protocolos!$A$6:$G$9992,2,FALSE),""),"Não localizado")</f>
        <v/>
      </c>
      <c r="C478" s="23" t="str">
        <f>_xlfn.IFNA(IF($A478&lt;&gt;"",VLOOKUP($A478,Protocolos!$A$6:$G$9992,7,FALSE),""),"Não localizado")</f>
        <v/>
      </c>
      <c r="D478" s="23" t="str">
        <f>_xlfn.IFNA(IF($A478&lt;&gt;"",VLOOKUP($A478,Protocolos!$A$6:$G$9992,6,FALSE),""),"Não localizado")</f>
        <v/>
      </c>
      <c r="E478" s="50"/>
    </row>
    <row r="479" spans="1:5" x14ac:dyDescent="0.25">
      <c r="A479" s="25"/>
      <c r="B479" s="22" t="str">
        <f>_xlfn.IFNA(IF($A479&lt;&gt;"",VLOOKUP($A479,Protocolos!$A$6:$G$9992,2,FALSE),""),"Não localizado")</f>
        <v/>
      </c>
      <c r="C479" s="23" t="str">
        <f>_xlfn.IFNA(IF($A479&lt;&gt;"",VLOOKUP($A479,Protocolos!$A$6:$G$9992,7,FALSE),""),"Não localizado")</f>
        <v/>
      </c>
      <c r="D479" s="23" t="str">
        <f>_xlfn.IFNA(IF($A479&lt;&gt;"",VLOOKUP($A479,Protocolos!$A$6:$G$9992,6,FALSE),""),"Não localizado")</f>
        <v/>
      </c>
      <c r="E479" s="50"/>
    </row>
    <row r="480" spans="1:5" x14ac:dyDescent="0.25">
      <c r="A480" s="25"/>
      <c r="B480" s="22" t="str">
        <f>_xlfn.IFNA(IF($A480&lt;&gt;"",VLOOKUP($A480,Protocolos!$A$6:$G$9992,2,FALSE),""),"Não localizado")</f>
        <v/>
      </c>
      <c r="C480" s="23" t="str">
        <f>_xlfn.IFNA(IF($A480&lt;&gt;"",VLOOKUP($A480,Protocolos!$A$6:$G$9992,7,FALSE),""),"Não localizado")</f>
        <v/>
      </c>
      <c r="D480" s="23" t="str">
        <f>_xlfn.IFNA(IF($A480&lt;&gt;"",VLOOKUP($A480,Protocolos!$A$6:$G$9992,6,FALSE),""),"Não localizado")</f>
        <v/>
      </c>
      <c r="E480" s="50"/>
    </row>
    <row r="481" spans="1:5" x14ac:dyDescent="0.25">
      <c r="A481" s="25"/>
      <c r="B481" s="22" t="str">
        <f>_xlfn.IFNA(IF($A481&lt;&gt;"",VLOOKUP($A481,Protocolos!$A$6:$G$9992,2,FALSE),""),"Não localizado")</f>
        <v/>
      </c>
      <c r="C481" s="23" t="str">
        <f>_xlfn.IFNA(IF($A481&lt;&gt;"",VLOOKUP($A481,Protocolos!$A$6:$G$9992,7,FALSE),""),"Não localizado")</f>
        <v/>
      </c>
      <c r="D481" s="23" t="str">
        <f>_xlfn.IFNA(IF($A481&lt;&gt;"",VLOOKUP($A481,Protocolos!$A$6:$G$9992,6,FALSE),""),"Não localizado")</f>
        <v/>
      </c>
      <c r="E481" s="50"/>
    </row>
    <row r="482" spans="1:5" x14ac:dyDescent="0.25">
      <c r="A482" s="25"/>
      <c r="B482" s="22" t="str">
        <f>_xlfn.IFNA(IF($A482&lt;&gt;"",VLOOKUP($A482,Protocolos!$A$6:$G$9992,2,FALSE),""),"Não localizado")</f>
        <v/>
      </c>
      <c r="C482" s="23" t="str">
        <f>_xlfn.IFNA(IF($A482&lt;&gt;"",VLOOKUP($A482,Protocolos!$A$6:$G$9992,7,FALSE),""),"Não localizado")</f>
        <v/>
      </c>
      <c r="D482" s="23" t="str">
        <f>_xlfn.IFNA(IF($A482&lt;&gt;"",VLOOKUP($A482,Protocolos!$A$6:$G$9992,6,FALSE),""),"Não localizado")</f>
        <v/>
      </c>
      <c r="E482" s="50"/>
    </row>
    <row r="483" spans="1:5" x14ac:dyDescent="0.25">
      <c r="A483" s="25"/>
      <c r="B483" s="22" t="str">
        <f>_xlfn.IFNA(IF($A483&lt;&gt;"",VLOOKUP($A483,Protocolos!$A$6:$G$9992,2,FALSE),""),"Não localizado")</f>
        <v/>
      </c>
      <c r="C483" s="23" t="str">
        <f>_xlfn.IFNA(IF($A483&lt;&gt;"",VLOOKUP($A483,Protocolos!$A$6:$G$9992,7,FALSE),""),"Não localizado")</f>
        <v/>
      </c>
      <c r="D483" s="23" t="str">
        <f>_xlfn.IFNA(IF($A483&lt;&gt;"",VLOOKUP($A483,Protocolos!$A$6:$G$9992,6,FALSE),""),"Não localizado")</f>
        <v/>
      </c>
      <c r="E483" s="50"/>
    </row>
    <row r="484" spans="1:5" x14ac:dyDescent="0.25">
      <c r="A484" s="25"/>
      <c r="B484" s="22" t="str">
        <f>_xlfn.IFNA(IF($A484&lt;&gt;"",VLOOKUP($A484,Protocolos!$A$6:$G$9992,2,FALSE),""),"Não localizado")</f>
        <v/>
      </c>
      <c r="C484" s="23" t="str">
        <f>_xlfn.IFNA(IF($A484&lt;&gt;"",VLOOKUP($A484,Protocolos!$A$6:$G$9992,7,FALSE),""),"Não localizado")</f>
        <v/>
      </c>
      <c r="D484" s="23" t="str">
        <f>_xlfn.IFNA(IF($A484&lt;&gt;"",VLOOKUP($A484,Protocolos!$A$6:$G$9992,6,FALSE),""),"Não localizado")</f>
        <v/>
      </c>
      <c r="E484" s="50"/>
    </row>
    <row r="485" spans="1:5" x14ac:dyDescent="0.25">
      <c r="A485" s="25"/>
      <c r="B485" s="22" t="str">
        <f>_xlfn.IFNA(IF($A485&lt;&gt;"",VLOOKUP($A485,Protocolos!$A$6:$G$9992,2,FALSE),""),"Não localizado")</f>
        <v/>
      </c>
      <c r="C485" s="23" t="str">
        <f>_xlfn.IFNA(IF($A485&lt;&gt;"",VLOOKUP($A485,Protocolos!$A$6:$G$9992,7,FALSE),""),"Não localizado")</f>
        <v/>
      </c>
      <c r="D485" s="23" t="str">
        <f>_xlfn.IFNA(IF($A485&lt;&gt;"",VLOOKUP($A485,Protocolos!$A$6:$G$9992,6,FALSE),""),"Não localizado")</f>
        <v/>
      </c>
      <c r="E485" s="50"/>
    </row>
    <row r="486" spans="1:5" x14ac:dyDescent="0.25">
      <c r="A486" s="25"/>
      <c r="B486" s="22" t="str">
        <f>_xlfn.IFNA(IF($A486&lt;&gt;"",VLOOKUP($A486,Protocolos!$A$6:$G$9992,2,FALSE),""),"Não localizado")</f>
        <v/>
      </c>
      <c r="C486" s="23" t="str">
        <f>_xlfn.IFNA(IF($A486&lt;&gt;"",VLOOKUP($A486,Protocolos!$A$6:$G$9992,7,FALSE),""),"Não localizado")</f>
        <v/>
      </c>
      <c r="D486" s="23" t="str">
        <f>_xlfn.IFNA(IF($A486&lt;&gt;"",VLOOKUP($A486,Protocolos!$A$6:$G$9992,6,FALSE),""),"Não localizado")</f>
        <v/>
      </c>
      <c r="E486" s="50"/>
    </row>
    <row r="487" spans="1:5" x14ac:dyDescent="0.25">
      <c r="A487" s="25"/>
      <c r="B487" s="22" t="str">
        <f>_xlfn.IFNA(IF($A487&lt;&gt;"",VLOOKUP($A487,Protocolos!$A$6:$G$9992,2,FALSE),""),"Não localizado")</f>
        <v/>
      </c>
      <c r="C487" s="23" t="str">
        <f>_xlfn.IFNA(IF($A487&lt;&gt;"",VLOOKUP($A487,Protocolos!$A$6:$G$9992,7,FALSE),""),"Não localizado")</f>
        <v/>
      </c>
      <c r="D487" s="23" t="str">
        <f>_xlfn.IFNA(IF($A487&lt;&gt;"",VLOOKUP($A487,Protocolos!$A$6:$G$9992,6,FALSE),""),"Não localizado")</f>
        <v/>
      </c>
      <c r="E487" s="50"/>
    </row>
    <row r="488" spans="1:5" x14ac:dyDescent="0.25">
      <c r="A488" s="25"/>
      <c r="B488" s="22" t="str">
        <f>_xlfn.IFNA(IF($A488&lt;&gt;"",VLOOKUP($A488,Protocolos!$A$6:$G$9992,2,FALSE),""),"Não localizado")</f>
        <v/>
      </c>
      <c r="C488" s="23" t="str">
        <f>_xlfn.IFNA(IF($A488&lt;&gt;"",VLOOKUP($A488,Protocolos!$A$6:$G$9992,7,FALSE),""),"Não localizado")</f>
        <v/>
      </c>
      <c r="D488" s="23" t="str">
        <f>_xlfn.IFNA(IF($A488&lt;&gt;"",VLOOKUP($A488,Protocolos!$A$6:$G$9992,6,FALSE),""),"Não localizado")</f>
        <v/>
      </c>
      <c r="E488" s="50"/>
    </row>
    <row r="489" spans="1:5" x14ac:dyDescent="0.25">
      <c r="A489" s="25"/>
      <c r="B489" s="22" t="str">
        <f>_xlfn.IFNA(IF($A489&lt;&gt;"",VLOOKUP($A489,Protocolos!$A$6:$G$9992,2,FALSE),""),"Não localizado")</f>
        <v/>
      </c>
      <c r="C489" s="23" t="str">
        <f>_xlfn.IFNA(IF($A489&lt;&gt;"",VLOOKUP($A489,Protocolos!$A$6:$G$9992,7,FALSE),""),"Não localizado")</f>
        <v/>
      </c>
      <c r="D489" s="23" t="str">
        <f>_xlfn.IFNA(IF($A489&lt;&gt;"",VLOOKUP($A489,Protocolos!$A$6:$G$9992,6,FALSE),""),"Não localizado")</f>
        <v/>
      </c>
      <c r="E489" s="50"/>
    </row>
    <row r="490" spans="1:5" x14ac:dyDescent="0.25">
      <c r="A490" s="25"/>
      <c r="B490" s="22" t="str">
        <f>_xlfn.IFNA(IF($A490&lt;&gt;"",VLOOKUP($A490,Protocolos!$A$6:$G$9992,2,FALSE),""),"Não localizado")</f>
        <v/>
      </c>
      <c r="C490" s="23" t="str">
        <f>_xlfn.IFNA(IF($A490&lt;&gt;"",VLOOKUP($A490,Protocolos!$A$6:$G$9992,7,FALSE),""),"Não localizado")</f>
        <v/>
      </c>
      <c r="D490" s="23" t="str">
        <f>_xlfn.IFNA(IF($A490&lt;&gt;"",VLOOKUP($A490,Protocolos!$A$6:$G$9992,6,FALSE),""),"Não localizado")</f>
        <v/>
      </c>
      <c r="E490" s="50"/>
    </row>
    <row r="491" spans="1:5" x14ac:dyDescent="0.25">
      <c r="A491" s="25"/>
      <c r="B491" s="22" t="str">
        <f>_xlfn.IFNA(IF($A491&lt;&gt;"",VLOOKUP($A491,Protocolos!$A$6:$G$9992,2,FALSE),""),"Não localizado")</f>
        <v/>
      </c>
      <c r="C491" s="23" t="str">
        <f>_xlfn.IFNA(IF($A491&lt;&gt;"",VLOOKUP($A491,Protocolos!$A$6:$G$9992,7,FALSE),""),"Não localizado")</f>
        <v/>
      </c>
      <c r="D491" s="23" t="str">
        <f>_xlfn.IFNA(IF($A491&lt;&gt;"",VLOOKUP($A491,Protocolos!$A$6:$G$9992,6,FALSE),""),"Não localizado")</f>
        <v/>
      </c>
      <c r="E491" s="50"/>
    </row>
    <row r="492" spans="1:5" x14ac:dyDescent="0.25">
      <c r="A492" s="25"/>
      <c r="B492" s="22" t="str">
        <f>_xlfn.IFNA(IF($A492&lt;&gt;"",VLOOKUP($A492,Protocolos!$A$6:$G$9992,2,FALSE),""),"Não localizado")</f>
        <v/>
      </c>
      <c r="C492" s="23" t="str">
        <f>_xlfn.IFNA(IF($A492&lt;&gt;"",VLOOKUP($A492,Protocolos!$A$6:$G$9992,7,FALSE),""),"Não localizado")</f>
        <v/>
      </c>
      <c r="D492" s="23" t="str">
        <f>_xlfn.IFNA(IF($A492&lt;&gt;"",VLOOKUP($A492,Protocolos!$A$6:$G$9992,6,FALSE),""),"Não localizado")</f>
        <v/>
      </c>
      <c r="E492" s="50"/>
    </row>
    <row r="493" spans="1:5" x14ac:dyDescent="0.25">
      <c r="A493" s="25"/>
      <c r="B493" s="22" t="str">
        <f>_xlfn.IFNA(IF($A493&lt;&gt;"",VLOOKUP($A493,Protocolos!$A$6:$G$9992,2,FALSE),""),"Não localizado")</f>
        <v/>
      </c>
      <c r="C493" s="23" t="str">
        <f>_xlfn.IFNA(IF($A493&lt;&gt;"",VLOOKUP($A493,Protocolos!$A$6:$G$9992,7,FALSE),""),"Não localizado")</f>
        <v/>
      </c>
      <c r="D493" s="23" t="str">
        <f>_xlfn.IFNA(IF($A493&lt;&gt;"",VLOOKUP($A493,Protocolos!$A$6:$G$9992,6,FALSE),""),"Não localizado")</f>
        <v/>
      </c>
      <c r="E493" s="50"/>
    </row>
    <row r="494" spans="1:5" x14ac:dyDescent="0.25">
      <c r="A494" s="25"/>
      <c r="B494" s="22" t="str">
        <f>_xlfn.IFNA(IF($A494&lt;&gt;"",VLOOKUP($A494,Protocolos!$A$6:$G$9992,2,FALSE),""),"Não localizado")</f>
        <v/>
      </c>
      <c r="C494" s="23" t="str">
        <f>_xlfn.IFNA(IF($A494&lt;&gt;"",VLOOKUP($A494,Protocolos!$A$6:$G$9992,7,FALSE),""),"Não localizado")</f>
        <v/>
      </c>
      <c r="D494" s="23" t="str">
        <f>_xlfn.IFNA(IF($A494&lt;&gt;"",VLOOKUP($A494,Protocolos!$A$6:$G$9992,6,FALSE),""),"Não localizado")</f>
        <v/>
      </c>
      <c r="E494" s="50"/>
    </row>
    <row r="495" spans="1:5" x14ac:dyDescent="0.25">
      <c r="A495" s="25"/>
      <c r="B495" s="22" t="str">
        <f>_xlfn.IFNA(IF($A495&lt;&gt;"",VLOOKUP($A495,Protocolos!$A$6:$G$9992,2,FALSE),""),"Não localizado")</f>
        <v/>
      </c>
      <c r="C495" s="23" t="str">
        <f>_xlfn.IFNA(IF($A495&lt;&gt;"",VLOOKUP($A495,Protocolos!$A$6:$G$9992,7,FALSE),""),"Não localizado")</f>
        <v/>
      </c>
      <c r="D495" s="23" t="str">
        <f>_xlfn.IFNA(IF($A495&lt;&gt;"",VLOOKUP($A495,Protocolos!$A$6:$G$9992,6,FALSE),""),"Não localizado")</f>
        <v/>
      </c>
      <c r="E495" s="50"/>
    </row>
    <row r="496" spans="1:5" x14ac:dyDescent="0.25">
      <c r="A496" s="25"/>
      <c r="B496" s="22" t="str">
        <f>_xlfn.IFNA(IF($A496&lt;&gt;"",VLOOKUP($A496,Protocolos!$A$6:$G$9992,2,FALSE),""),"Não localizado")</f>
        <v/>
      </c>
      <c r="C496" s="23" t="str">
        <f>_xlfn.IFNA(IF($A496&lt;&gt;"",VLOOKUP($A496,Protocolos!$A$6:$G$9992,7,FALSE),""),"Não localizado")</f>
        <v/>
      </c>
      <c r="D496" s="23" t="str">
        <f>_xlfn.IFNA(IF($A496&lt;&gt;"",VLOOKUP($A496,Protocolos!$A$6:$G$9992,6,FALSE),""),"Não localizado")</f>
        <v/>
      </c>
      <c r="E496" s="50"/>
    </row>
    <row r="497" spans="1:5" x14ac:dyDescent="0.25">
      <c r="A497" s="25"/>
      <c r="B497" s="22" t="str">
        <f>_xlfn.IFNA(IF($A497&lt;&gt;"",VLOOKUP($A497,Protocolos!$A$6:$G$9992,2,FALSE),""),"Não localizado")</f>
        <v/>
      </c>
      <c r="C497" s="23" t="str">
        <f>_xlfn.IFNA(IF($A497&lt;&gt;"",VLOOKUP($A497,Protocolos!$A$6:$G$9992,7,FALSE),""),"Não localizado")</f>
        <v/>
      </c>
      <c r="D497" s="23" t="str">
        <f>_xlfn.IFNA(IF($A497&lt;&gt;"",VLOOKUP($A497,Protocolos!$A$6:$G$9992,6,FALSE),""),"Não localizado")</f>
        <v/>
      </c>
      <c r="E497" s="50"/>
    </row>
    <row r="498" spans="1:5" x14ac:dyDescent="0.25">
      <c r="A498" s="25"/>
      <c r="B498" s="22" t="str">
        <f>_xlfn.IFNA(IF($A498&lt;&gt;"",VLOOKUP($A498,Protocolos!$A$6:$G$9992,2,FALSE),""),"Não localizado")</f>
        <v/>
      </c>
      <c r="C498" s="23" t="str">
        <f>_xlfn.IFNA(IF($A498&lt;&gt;"",VLOOKUP($A498,Protocolos!$A$6:$G$9992,7,FALSE),""),"Não localizado")</f>
        <v/>
      </c>
      <c r="D498" s="23" t="str">
        <f>_xlfn.IFNA(IF($A498&lt;&gt;"",VLOOKUP($A498,Protocolos!$A$6:$G$9992,6,FALSE),""),"Não localizado")</f>
        <v/>
      </c>
      <c r="E498" s="50"/>
    </row>
    <row r="499" spans="1:5" x14ac:dyDescent="0.25">
      <c r="A499" s="25"/>
      <c r="B499" s="22" t="str">
        <f>_xlfn.IFNA(IF($A499&lt;&gt;"",VLOOKUP($A499,Protocolos!$A$6:$G$9992,2,FALSE),""),"Não localizado")</f>
        <v/>
      </c>
      <c r="C499" s="23" t="str">
        <f>_xlfn.IFNA(IF($A499&lt;&gt;"",VLOOKUP($A499,Protocolos!$A$6:$G$9992,7,FALSE),""),"Não localizado")</f>
        <v/>
      </c>
      <c r="D499" s="23" t="str">
        <f>_xlfn.IFNA(IF($A499&lt;&gt;"",VLOOKUP($A499,Protocolos!$A$6:$G$9992,6,FALSE),""),"Não localizado")</f>
        <v/>
      </c>
      <c r="E499" s="50"/>
    </row>
    <row r="500" spans="1:5" x14ac:dyDescent="0.25">
      <c r="A500" s="25"/>
      <c r="B500" s="22" t="str">
        <f>_xlfn.IFNA(IF($A500&lt;&gt;"",VLOOKUP($A500,Protocolos!$A$6:$G$9992,2,FALSE),""),"Não localizado")</f>
        <v/>
      </c>
      <c r="C500" s="23" t="str">
        <f>_xlfn.IFNA(IF($A500&lt;&gt;"",VLOOKUP($A500,Protocolos!$A$6:$G$9992,7,FALSE),""),"Não localizado")</f>
        <v/>
      </c>
      <c r="D500" s="23" t="str">
        <f>_xlfn.IFNA(IF($A500&lt;&gt;"",VLOOKUP($A500,Protocolos!$A$6:$G$9992,6,FALSE),""),"Não localizado")</f>
        <v/>
      </c>
      <c r="E500" s="50"/>
    </row>
    <row r="501" spans="1:5" x14ac:dyDescent="0.25">
      <c r="A501" s="25"/>
      <c r="B501" s="22" t="str">
        <f>_xlfn.IFNA(IF($A501&lt;&gt;"",VLOOKUP($A501,Protocolos!$A$6:$G$9992,2,FALSE),""),"Não localizado")</f>
        <v/>
      </c>
      <c r="C501" s="23" t="str">
        <f>_xlfn.IFNA(IF($A501&lt;&gt;"",VLOOKUP($A501,Protocolos!$A$6:$G$9992,7,FALSE),""),"Não localizado")</f>
        <v/>
      </c>
      <c r="D501" s="23" t="str">
        <f>_xlfn.IFNA(IF($A501&lt;&gt;"",VLOOKUP($A501,Protocolos!$A$6:$G$9992,6,FALSE),""),"Não localizado")</f>
        <v/>
      </c>
      <c r="E501" s="50"/>
    </row>
    <row r="502" spans="1:5" x14ac:dyDescent="0.25">
      <c r="A502" s="25"/>
      <c r="B502" s="22" t="str">
        <f>_xlfn.IFNA(IF($A502&lt;&gt;"",VLOOKUP($A502,Protocolos!$A$6:$G$9992,2,FALSE),""),"Não localizado")</f>
        <v/>
      </c>
      <c r="C502" s="23" t="str">
        <f>_xlfn.IFNA(IF($A502&lt;&gt;"",VLOOKUP($A502,Protocolos!$A$6:$G$9992,7,FALSE),""),"Não localizado")</f>
        <v/>
      </c>
      <c r="D502" s="23" t="str">
        <f>_xlfn.IFNA(IF($A502&lt;&gt;"",VLOOKUP($A502,Protocolos!$A$6:$G$9992,6,FALSE),""),"Não localizado")</f>
        <v/>
      </c>
      <c r="E502" s="50"/>
    </row>
    <row r="503" spans="1:5" x14ac:dyDescent="0.25">
      <c r="A503" s="25"/>
      <c r="B503" s="22" t="str">
        <f>_xlfn.IFNA(IF($A503&lt;&gt;"",VLOOKUP($A503,Protocolos!$A$6:$G$9992,2,FALSE),""),"Não localizado")</f>
        <v/>
      </c>
      <c r="C503" s="23" t="str">
        <f>_xlfn.IFNA(IF($A503&lt;&gt;"",VLOOKUP($A503,Protocolos!$A$6:$G$9992,7,FALSE),""),"Não localizado")</f>
        <v/>
      </c>
      <c r="D503" s="23" t="str">
        <f>_xlfn.IFNA(IF($A503&lt;&gt;"",VLOOKUP($A503,Protocolos!$A$6:$G$9992,6,FALSE),""),"Não localizado")</f>
        <v/>
      </c>
      <c r="E503" s="50"/>
    </row>
    <row r="504" spans="1:5" x14ac:dyDescent="0.25">
      <c r="E504" s="50"/>
    </row>
  </sheetData>
  <sheetProtection formatCells="0" formatColumns="0" formatRows="0" sort="0" autoFilter="0"/>
  <autoFilter ref="A4:D509" xr:uid="{C215BCF8-4E43-4CD8-8147-BDCFD5AA3F23}"/>
  <mergeCells count="1">
    <mergeCell ref="A1:D3"/>
  </mergeCells>
  <conditionalFormatting sqref="D4 D504:D1048576">
    <cfRule type="cellIs" dxfId="6" priority="8" operator="equal">
      <formula>"Pendente"</formula>
    </cfRule>
  </conditionalFormatting>
  <conditionalFormatting sqref="B5:D503">
    <cfRule type="cellIs" dxfId="5" priority="7" operator="equal">
      <formula>"Não localizado"</formula>
    </cfRule>
  </conditionalFormatting>
  <conditionalFormatting sqref="D5:D503">
    <cfRule type="cellIs" dxfId="4" priority="2" operator="equal">
      <formula>"Transferido"</formula>
    </cfRule>
    <cfRule type="expression" dxfId="3" priority="3">
      <formula>OR($D5="Concluído",$D5="Certidão Automática")</formula>
    </cfRule>
    <cfRule type="cellIs" dxfId="2" priority="4" operator="equal">
      <formula>"Aguardando PG"</formula>
    </cfRule>
    <cfRule type="cellIs" dxfId="1" priority="5" operator="equal">
      <formula>"Pendente"</formula>
    </cfRule>
  </conditionalFormatting>
  <conditionalFormatting sqref="C5:C503">
    <cfRule type="cellIs" dxfId="0" priority="1" operator="equal">
      <formula>TODAY()</formula>
    </cfRule>
  </conditionalFormatting>
  <dataValidations count="2">
    <dataValidation allowBlank="1" showInputMessage="1" showErrorMessage="1" errorTitle="ERRO" error="Selecione um item da lista" sqref="A4" xr:uid="{0589FEB7-FEA8-4A0F-A4CD-3452790A67F0}"/>
    <dataValidation type="custom" allowBlank="1" showInputMessage="1" showErrorMessage="1" sqref="A28:A29" xr:uid="{F8E99DF9-17A5-49B2-A566-9AAE29339530}">
      <formula1>NOT(COUNTIF($A$6:$A$10000,$A28)&gt;1)</formula1>
    </dataValidation>
  </dataValidations>
  <hyperlinks>
    <hyperlink ref="E5" location="Protocolos!$A$197" display="$A$197" xr:uid="{A58E9BA3-B7B7-4CA1-87E1-9DD008A6F807}"/>
    <hyperlink ref="E6" location="Protocolos!$A$206" display="$A$206" xr:uid="{F79366F5-ADFD-441A-AA7C-1E504E72FA96}"/>
    <hyperlink ref="E7" location="Protocolos!$A$214" display="$A$214" xr:uid="{54027EF3-0B89-4C68-82B7-600A3BD7D0B9}"/>
    <hyperlink ref="E8" location="Protocolos!$A$200" display="$A$200" xr:uid="{3EA8D5F6-9F2B-4C4A-987A-38ECBF584E28}"/>
    <hyperlink ref="E9" location="Protocolos!$A$111" display="$A$111" xr:uid="{D79CE488-5328-48B3-9002-3106E858E7DA}"/>
    <hyperlink ref="E10" location="Protocolos!$A$208" display="$A$208" xr:uid="{F5F0F625-1050-4D78-A5C2-722573F0E1B3}"/>
    <hyperlink ref="E11" location="Protocolos!$A$201" display="$A$201" xr:uid="{FBB5724B-3E19-4710-B79B-936B95A33FBC}"/>
    <hyperlink ref="E12" location="Protocolos!$A$202" display="$A$202" xr:uid="{7C124794-5CA7-4D02-824F-31B3B0EA88E4}"/>
    <hyperlink ref="E13" location="Protocolos!$A$217" display="$A$217" xr:uid="{EE534AAA-BBBF-408D-A76B-9ACDB390FD85}"/>
    <hyperlink ref="E14" location="Protocolos!$A$207" display="$A$207" xr:uid="{178FABCC-60AE-4993-A148-720D713CF2AB}"/>
    <hyperlink ref="E15" location="Protocolos!$A$212" display="$A$212" xr:uid="{F55F4DD2-B1DC-4F07-80F6-612913B03C78}"/>
    <hyperlink ref="E16" location="Protocolos!$A$205" display="$A$205" xr:uid="{30EC0D62-0826-403C-BD5D-AC6A7CB4AA54}"/>
    <hyperlink ref="E17" location="Protocolos!$A$220" display="$A$220" xr:uid="{7B633C35-8F0C-4911-A2A8-4FBE9B71C462}"/>
    <hyperlink ref="E18" location="Protocolos!$A$177" display="$A$177" xr:uid="{E05B7EA0-0F4C-4FEA-B30A-AA06647B2393}"/>
    <hyperlink ref="E19" location="Protocolos!$A$211" display="$A$211" xr:uid="{089E19EC-49D7-4B1A-94CB-40D5BF2CA301}"/>
    <hyperlink ref="E20" location="Protocolos!$A$180" display="$A$180" xr:uid="{1D1723E4-265B-4D68-9259-7CBFBC1ABBC8}"/>
    <hyperlink ref="E21" location="Protocolos!$A$167" display="$A$167" xr:uid="{3FEB0CCD-243F-467A-8A6F-623035F194B9}"/>
    <hyperlink ref="E22" location="Protocolos!$A$174" display="$A$174" xr:uid="{839DED48-D289-4A35-9F45-438F6194BE2F}"/>
    <hyperlink ref="E23" location="Protocolos!$A$219" display="$A$219" xr:uid="{E81C85CA-1C9F-4A06-8504-E04B685BBAF7}"/>
    <hyperlink ref="E24" location="Protocolos!$A$218" display="$A$218" xr:uid="{8584BACB-F62B-4BDB-8A78-368FDA6BE8E3}"/>
  </hyperlinks>
  <pageMargins left="0.7" right="0.7" top="0.75" bottom="0.75" header="0.3" footer="0.3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FCAC16C5C1F4E488A8DE818D45F9E36" ma:contentTypeVersion="11" ma:contentTypeDescription="Crie um novo documento." ma:contentTypeScope="" ma:versionID="6fe663dfd6fa089591b9892d45336a43">
  <xsd:schema xmlns:xsd="http://www.w3.org/2001/XMLSchema" xmlns:xs="http://www.w3.org/2001/XMLSchema" xmlns:p="http://schemas.microsoft.com/office/2006/metadata/properties" xmlns:ns3="b5d5aaf0-2255-476f-8cee-0d92208154fa" xmlns:ns4="fd75c14f-259a-4404-9d86-0eb05765b87e" targetNamespace="http://schemas.microsoft.com/office/2006/metadata/properties" ma:root="true" ma:fieldsID="f7eee3567bdbdcf042006ef79f11ecfc" ns3:_="" ns4:_="">
    <xsd:import namespace="b5d5aaf0-2255-476f-8cee-0d92208154fa"/>
    <xsd:import namespace="fd75c14f-259a-4404-9d86-0eb05765b87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d5aaf0-2255-476f-8cee-0d92208154f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75c14f-259a-4404-9d86-0eb05765b8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99E1A77-4256-4A88-9CD5-CE39C4B7605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733724B-0B62-434B-A7BF-3B2B0D5D643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EE5E209-FCA2-478D-BD88-E4491F433A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d5aaf0-2255-476f-8cee-0d92208154fa"/>
    <ds:schemaRef ds:uri="fd75c14f-259a-4404-9d86-0eb05765b8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997BCCC-55A9-4063-B0F3-53A6B1246000}">
  <ds:schemaRefs>
    <ds:schemaRef ds:uri="http://schemas.microsoft.com/office/2006/documentManagement/types"/>
    <ds:schemaRef ds:uri="http://purl.org/dc/terms/"/>
    <ds:schemaRef ds:uri="fd75c14f-259a-4404-9d86-0eb05765b87e"/>
    <ds:schemaRef ds:uri="http://purl.org/dc/dcmitype/"/>
    <ds:schemaRef ds:uri="http://www.w3.org/XML/1998/namespace"/>
    <ds:schemaRef ds:uri="b5d5aaf0-2255-476f-8cee-0d92208154fa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Protocolos</vt:lpstr>
      <vt:lpstr>VerifyProtocol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Braga</dc:creator>
  <cp:keywords/>
  <dc:description/>
  <cp:lastModifiedBy>David Braga</cp:lastModifiedBy>
  <cp:revision/>
  <dcterms:created xsi:type="dcterms:W3CDTF">2021-11-24T17:53:37Z</dcterms:created>
  <dcterms:modified xsi:type="dcterms:W3CDTF">2022-03-08T05:49:58Z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0x010100EFCAC16C5C1F4E488A8DE818D45F9E36</vt:lpwstr>
  </property>
</Properties>
</file>