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efazmg-my.sharepoint.com/personal/david_teodoro_fazenda_mg_gov_br/Documents/Setores/ITCD/Planilhas/"/>
    </mc:Choice>
  </mc:AlternateContent>
  <xr:revisionPtr revIDLastSave="286" documentId="13_ncr:1_{0231BFF2-4FF9-468D-80C1-063035103B7F}" xr6:coauthVersionLast="47" xr6:coauthVersionMax="47" xr10:uidLastSave="{E6BF3158-6BD4-44ED-9E03-8BDBE682CD9B}"/>
  <bookViews>
    <workbookView xWindow="28680" yWindow="4410" windowWidth="20730" windowHeight="11310" xr2:uid="{672E0194-3666-4CBD-B132-A4C95EE75CD4}"/>
  </bookViews>
  <sheets>
    <sheet name="ITCD Calc" sheetId="1" r:id="rId1"/>
    <sheet name="Bens Avaliados" sheetId="4" r:id="rId2"/>
    <sheet name="Diferença de Partilha" sheetId="3" state="hidden" r:id="rId3"/>
  </sheets>
  <functionGroups builtInGroupCount="19"/>
  <definedNames>
    <definedName name="_xlnm._FilterDatabase" localSheetId="0" hidden="1">'ITCD Calc'!$A$2:$D$17</definedName>
    <definedName name="Bens">'Diferença de Partilha'!$C$6:$ZZ$6</definedName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P3" i="4"/>
  <c r="Q3" i="4" s="1"/>
  <c r="P4" i="4"/>
  <c r="P5" i="4"/>
  <c r="P6" i="4"/>
  <c r="Q6" i="4" s="1"/>
  <c r="P7" i="4"/>
  <c r="P8" i="4"/>
  <c r="Q8" i="4" s="1"/>
  <c r="P9" i="4"/>
  <c r="Q9" i="4" s="1"/>
  <c r="P10" i="4"/>
  <c r="Q10" i="4" s="1"/>
  <c r="P2" i="4"/>
  <c r="Q2" i="4" s="1"/>
  <c r="Q4" i="4"/>
  <c r="O11" i="4"/>
  <c r="Q5" i="4"/>
  <c r="Q7" i="4"/>
  <c r="ZZ103" i="1"/>
  <c r="ZZ102" i="1"/>
  <c r="ZZ101" i="1"/>
  <c r="ZZ100" i="1"/>
  <c r="J6" i="1" l="1"/>
  <c r="K6" i="1" s="1"/>
  <c r="Q11" i="4"/>
</calcChain>
</file>

<file path=xl/sharedStrings.xml><?xml version="1.0" encoding="utf-8"?>
<sst xmlns="http://schemas.openxmlformats.org/spreadsheetml/2006/main" count="52" uniqueCount="46">
  <si>
    <t>Tipo de Declaração</t>
  </si>
  <si>
    <t>ANO</t>
  </si>
  <si>
    <t>UFEMG</t>
  </si>
  <si>
    <t>Atualização de Valor pela UFEMG</t>
  </si>
  <si>
    <t>UFEMG Avaliada</t>
  </si>
  <si>
    <t>UFEMG Venc.</t>
  </si>
  <si>
    <t>Valor Atualizado</t>
  </si>
  <si>
    <t>Valor Avaliado R$</t>
  </si>
  <si>
    <t>Alíquotas</t>
  </si>
  <si>
    <t>Valor Recebido</t>
  </si>
  <si>
    <t>Número de Beneficiários/Meeiro</t>
  </si>
  <si>
    <t>Número de Bens</t>
  </si>
  <si>
    <t>Bem 1</t>
  </si>
  <si>
    <t>Bem 2</t>
  </si>
  <si>
    <t>Valor total do monte-partível</t>
  </si>
  <si>
    <t>Herdeiro 1</t>
  </si>
  <si>
    <t>Herdeiro 2</t>
  </si>
  <si>
    <t>Herdeiro 3</t>
  </si>
  <si>
    <t>Herdeiro 4</t>
  </si>
  <si>
    <t>Herdeiro 5</t>
  </si>
  <si>
    <t>Beneficiários</t>
  </si>
  <si>
    <t>Partilha Legal</t>
  </si>
  <si>
    <t>Diferença</t>
  </si>
  <si>
    <t>Beneficiários/Meeiro</t>
  </si>
  <si>
    <t>Endereço</t>
  </si>
  <si>
    <t>Fração</t>
  </si>
  <si>
    <t>Valor</t>
  </si>
  <si>
    <t>Valor Venal</t>
  </si>
  <si>
    <t>% mínimo</t>
  </si>
  <si>
    <t>Índice</t>
  </si>
  <si>
    <t>% máximo</t>
  </si>
  <si>
    <t>Área Terreno</t>
  </si>
  <si>
    <t>Área Construída</t>
  </si>
  <si>
    <t>ICT</t>
  </si>
  <si>
    <t>SEXO</t>
  </si>
  <si>
    <t>IDADE</t>
  </si>
  <si>
    <t>QUANT.</t>
  </si>
  <si>
    <t>VALOR</t>
  </si>
  <si>
    <t>TOTAL</t>
  </si>
  <si>
    <t>MACHO</t>
  </si>
  <si>
    <t>13-24M</t>
  </si>
  <si>
    <t>FÊMEA</t>
  </si>
  <si>
    <t>&gt;=36M</t>
  </si>
  <si>
    <t>PAUTA SRF JUIZ DE FORA</t>
  </si>
  <si>
    <t>0-12M</t>
  </si>
  <si>
    <t>25-36M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</si>
</sst>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[&lt;=99999999999]000\.000\.000\-00;00\.000\.000\/0000\-00"/>
    <numFmt numFmtId="167" formatCode="000\.000\.000\.000\-0"/>
    <numFmt numFmtId="168" formatCode="yyyy"/>
    <numFmt numFmtId="169" formatCode="&quot;R$&quot;\ #,##0.00"/>
    <numFmt numFmtId="170" formatCode="0.0000%"/>
    <numFmt numFmtId="171" formatCode="0.0000"/>
    <numFmt numFmtId="172" formatCode="0.000000%"/>
    <numFmt numFmtId="173" formatCode="0.00&quot; m²&quot;"/>
    <numFmt numFmtId="174" formatCode="0.000000"/>
    <numFmt numFmtId="175" formatCode="0.0000&quot; UFEMG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71" fontId="0" fillId="0" borderId="0" xfId="0" applyNumberFormat="1"/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0" fillId="3" borderId="0" xfId="0" applyFill="1" applyAlignment="1">
      <alignment horizontal="left"/>
    </xf>
    <xf numFmtId="0" fontId="0" fillId="3" borderId="0" xfId="0" applyFill="1"/>
    <xf numFmtId="0" fontId="1" fillId="3" borderId="0" xfId="0" applyFont="1" applyFill="1" applyAlignment="1">
      <alignment horizontal="right"/>
    </xf>
    <xf numFmtId="14" fontId="0" fillId="3" borderId="0" xfId="0" applyNumberFormat="1" applyFill="1" applyAlignment="1">
      <alignment horizontal="left"/>
    </xf>
    <xf numFmtId="0" fontId="2" fillId="3" borderId="0" xfId="0" applyFont="1" applyFill="1"/>
    <xf numFmtId="0" fontId="0" fillId="3" borderId="0" xfId="0" applyNumberFormat="1" applyFill="1"/>
    <xf numFmtId="0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9" fontId="0" fillId="3" borderId="0" xfId="1" applyFont="1" applyFill="1" applyAlignment="1">
      <alignment horizontal="left"/>
    </xf>
    <xf numFmtId="0" fontId="4" fillId="3" borderId="0" xfId="2" applyFill="1" applyAlignment="1">
      <alignment horizontal="right"/>
    </xf>
    <xf numFmtId="170" fontId="0" fillId="3" borderId="0" xfId="0" applyNumberFormat="1" applyFill="1"/>
    <xf numFmtId="165" fontId="1" fillId="3" borderId="0" xfId="0" applyNumberFormat="1" applyFont="1" applyFill="1"/>
    <xf numFmtId="164" fontId="0" fillId="0" borderId="0" xfId="3" applyFont="1"/>
    <xf numFmtId="165" fontId="0" fillId="3" borderId="0" xfId="0" applyNumberFormat="1" applyFill="1" applyAlignment="1">
      <alignment horizontal="left"/>
    </xf>
    <xf numFmtId="0" fontId="4" fillId="3" borderId="0" xfId="2" applyFill="1"/>
    <xf numFmtId="164" fontId="0" fillId="3" borderId="0" xfId="3" applyFont="1" applyFill="1"/>
    <xf numFmtId="0" fontId="1" fillId="2" borderId="0" xfId="0" applyFont="1" applyFill="1" applyAlignment="1">
      <alignment horizontal="center"/>
    </xf>
    <xf numFmtId="172" fontId="0" fillId="3" borderId="0" xfId="1" applyNumberFormat="1" applyFont="1" applyFill="1"/>
    <xf numFmtId="9" fontId="0" fillId="0" borderId="0" xfId="0" applyNumberFormat="1" applyAlignment="1">
      <alignment horizontal="center"/>
    </xf>
    <xf numFmtId="9" fontId="0" fillId="0" borderId="0" xfId="1" applyFo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vertical="center"/>
    </xf>
    <xf numFmtId="9" fontId="1" fillId="4" borderId="0" xfId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9" fontId="1" fillId="0" borderId="0" xfId="1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9" fontId="0" fillId="0" borderId="0" xfId="1" applyFont="1" applyFill="1"/>
    <xf numFmtId="164" fontId="0" fillId="0" borderId="0" xfId="3" applyFont="1" applyFill="1"/>
    <xf numFmtId="0" fontId="1" fillId="4" borderId="0" xfId="0" applyFont="1" applyFill="1"/>
    <xf numFmtId="0" fontId="0" fillId="0" borderId="0" xfId="0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9" fontId="1" fillId="2" borderId="0" xfId="0" applyNumberFormat="1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74" fontId="5" fillId="2" borderId="0" xfId="0" applyNumberFormat="1" applyFont="1" applyFill="1" applyAlignment="1">
      <alignment horizontal="center" vertical="center"/>
    </xf>
    <xf numFmtId="174" fontId="6" fillId="0" borderId="0" xfId="0" applyNumberFormat="1" applyFont="1" applyAlignment="1">
      <alignment horizontal="center" vertical="center"/>
    </xf>
    <xf numFmtId="10" fontId="0" fillId="0" borderId="0" xfId="0" applyNumberFormat="1"/>
    <xf numFmtId="0" fontId="0" fillId="0" borderId="0" xfId="0" applyAlignment="1">
      <alignment horizontal="left" vertical="center"/>
    </xf>
    <xf numFmtId="0" fontId="0" fillId="6" borderId="0" xfId="0" applyFill="1"/>
    <xf numFmtId="164" fontId="0" fillId="5" borderId="0" xfId="3" applyFont="1" applyFill="1"/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174" fontId="6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64" fontId="0" fillId="0" borderId="0" xfId="3" applyFont="1" applyAlignment="1" applyProtection="1">
      <alignment horizontal="center" vertical="center"/>
      <protection locked="0"/>
    </xf>
    <xf numFmtId="169" fontId="0" fillId="7" borderId="5" xfId="0" applyNumberFormat="1" applyFill="1" applyBorder="1" applyAlignment="1">
      <alignment horizontal="center" vertical="center"/>
    </xf>
    <xf numFmtId="10" fontId="0" fillId="7" borderId="5" xfId="0" applyNumberFormat="1" applyFill="1" applyBorder="1"/>
    <xf numFmtId="0" fontId="0" fillId="7" borderId="5" xfId="0" applyFill="1" applyBorder="1" applyAlignment="1">
      <alignment horizontal="center" vertical="center"/>
    </xf>
    <xf numFmtId="172" fontId="0" fillId="5" borderId="0" xfId="0" applyNumberFormat="1" applyFill="1" applyProtection="1">
      <protection locked="0"/>
    </xf>
    <xf numFmtId="0" fontId="1" fillId="2" borderId="9" xfId="0" applyFont="1" applyFill="1" applyBorder="1" applyAlignment="1">
      <alignment horizontal="left"/>
    </xf>
    <xf numFmtId="164" fontId="0" fillId="0" borderId="0" xfId="3" applyFont="1" applyBorder="1"/>
    <xf numFmtId="175" fontId="0" fillId="5" borderId="10" xfId="0" applyNumberFormat="1" applyFill="1" applyBorder="1"/>
    <xf numFmtId="0" fontId="0" fillId="0" borderId="0" xfId="0" applyBorder="1"/>
    <xf numFmtId="0" fontId="1" fillId="2" borderId="11" xfId="0" applyFont="1" applyFill="1" applyBorder="1" applyAlignment="1">
      <alignment horizontal="left"/>
    </xf>
    <xf numFmtId="164" fontId="1" fillId="5" borderId="12" xfId="3" applyFont="1" applyFill="1" applyBorder="1"/>
    <xf numFmtId="175" fontId="0" fillId="5" borderId="13" xfId="0" applyNumberFormat="1" applyFill="1" applyBorder="1"/>
    <xf numFmtId="168" fontId="1" fillId="3" borderId="0" xfId="0" applyNumberFormat="1" applyFont="1" applyFill="1" applyAlignment="1">
      <alignment horizontal="right"/>
    </xf>
    <xf numFmtId="167" fontId="0" fillId="3" borderId="0" xfId="0" applyNumberFormat="1" applyFont="1" applyFill="1" applyAlignment="1">
      <alignment horizontal="left"/>
    </xf>
    <xf numFmtId="166" fontId="0" fillId="3" borderId="0" xfId="0" applyNumberFormat="1" applyFont="1" applyFill="1" applyAlignment="1">
      <alignment horizontal="left"/>
    </xf>
    <xf numFmtId="14" fontId="0" fillId="3" borderId="0" xfId="0" applyNumberFormat="1" applyFont="1" applyFill="1" applyAlignment="1">
      <alignment horizontal="left"/>
    </xf>
    <xf numFmtId="0" fontId="8" fillId="0" borderId="0" xfId="0" applyFont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9" fontId="1" fillId="4" borderId="0" xfId="1" applyFont="1" applyFill="1" applyAlignment="1">
      <alignment horizontal="center" vertical="center"/>
    </xf>
  </cellXfs>
  <cellStyles count="5">
    <cellStyle name="Currency" xfId="3" builtinId="4"/>
    <cellStyle name="Currency 2" xfId="4" xr:uid="{7F2A25E0-1795-4407-92AB-8C36FA9A2AA2}"/>
    <cellStyle name="Hyperlink" xfId="2" builtinId="8"/>
    <cellStyle name="Normal" xfId="0" builtinId="0"/>
    <cellStyle name="Percent" xfId="1" builtinId="5"/>
  </cellStyles>
  <dxfs count="15"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ont>
        <color rgb="FF426100"/>
      </font>
      <fill>
        <patternFill>
          <fgColor rgb="FFC6EFCE"/>
          <bgColor rgb="FFC6EFCE"/>
        </patternFill>
      </fill>
    </dxf>
    <dxf>
      <font>
        <color theme="7" tint="-0.499984740745262"/>
      </font>
      <fill>
        <patternFill>
          <fgColor theme="7" tint="0.59996337778862885"/>
          <bgColor theme="7" tint="0.59996337778862885"/>
        </patternFill>
      </fill>
    </dxf>
    <dxf>
      <font>
        <color rgb="FF426100"/>
      </font>
      <fill>
        <patternFill>
          <fgColor theme="9" tint="0.79995117038483843"/>
          <bgColor rgb="FFC6EFCE"/>
        </patternFill>
      </fill>
    </dxf>
    <dxf>
      <font>
        <color theme="7" tint="-0.499984740745262"/>
      </font>
      <fill>
        <patternFill>
          <fgColor theme="9" tint="0.79992065187536243"/>
          <bgColor theme="7" tint="0.59996337778862885"/>
        </patternFill>
      </fill>
    </dxf>
    <dxf>
      <font>
        <color rgb="FF426100"/>
      </font>
      <fill>
        <patternFill>
          <fgColor rgb="FFC6EFCE"/>
          <bgColor rgb="FFC6EFCE"/>
        </patternFill>
      </fill>
    </dxf>
    <dxf>
      <font>
        <color theme="7" tint="-0.499984740745262"/>
      </font>
      <fill>
        <patternFill>
          <fgColor rgb="FFC6EFCE"/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C6EFCE"/>
      <color rgb="FF4261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20</xdr:row>
      <xdr:rowOff>104775</xdr:rowOff>
    </xdr:from>
    <xdr:to>
      <xdr:col>1</xdr:col>
      <xdr:colOff>1485900</xdr:colOff>
      <xdr:row>22</xdr:row>
      <xdr:rowOff>85725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09675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2</xdr:col>
      <xdr:colOff>447675</xdr:colOff>
      <xdr:row>20</xdr:row>
      <xdr:rowOff>104775</xdr:rowOff>
    </xdr:from>
    <xdr:to>
      <xdr:col>3</xdr:col>
      <xdr:colOff>600075</xdr:colOff>
      <xdr:row>22</xdr:row>
      <xdr:rowOff>85725</xdr:rowOff>
    </xdr:to>
    <xdr:sp macro="[0]!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3276600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390524</xdr:colOff>
      <xdr:row>3</xdr:row>
      <xdr:rowOff>171450</xdr:rowOff>
    </xdr:from>
    <xdr:to>
      <xdr:col>9</xdr:col>
      <xdr:colOff>704849</xdr:colOff>
      <xdr:row>5</xdr:row>
      <xdr:rowOff>66675</xdr:rowOff>
    </xdr:to>
    <xdr:sp macro="[0]!Sheet2.avalb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29C679-786E-4C17-A22D-49785B1B8B14}"/>
            </a:ext>
          </a:extLst>
        </xdr:cNvPr>
        <xdr:cNvSpPr/>
      </xdr:nvSpPr>
      <xdr:spPr>
        <a:xfrm>
          <a:off x="5495924" y="742950"/>
          <a:ext cx="962025" cy="2762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</a:t>
          </a:r>
        </a:p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28575</xdr:rowOff>
    </xdr:from>
    <xdr:to>
      <xdr:col>5</xdr:col>
      <xdr:colOff>571500</xdr:colOff>
      <xdr:row>1</xdr:row>
      <xdr:rowOff>180975</xdr:rowOff>
    </xdr:to>
    <xdr:sp macro="[0]!cleanSelec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E81E23-5D2B-40F6-B793-407DBBE22D50}"/>
            </a:ext>
          </a:extLst>
        </xdr:cNvPr>
        <xdr:cNvSpPr/>
      </xdr:nvSpPr>
      <xdr:spPr>
        <a:xfrm>
          <a:off x="5048250" y="28575"/>
          <a:ext cx="1581150" cy="3429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Trebuchet MS" panose="020B0603020202020204" pitchFamily="34" charset="0"/>
            </a:rPr>
            <a:t>Clear Selection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showRuler="0" view="pageLayout" zoomScaleNormal="100" workbookViewId="0">
      <selection activeCell="B1" sqref="B1"/>
    </sheetView>
  </sheetViews>
  <sheetFormatPr defaultRowHeight="15" x14ac:dyDescent="0.25"/>
  <cols>
    <col min="1" max="1" width="17.85546875" bestFit="1" customWidth="1"/>
    <col min="2" max="2" width="22" style="2" customWidth="1"/>
    <col min="3" max="3" width="19.5703125" bestFit="1" customWidth="1"/>
    <col min="4" max="4" width="14" customWidth="1"/>
    <col min="6" max="6" width="13.140625" hidden="1" customWidth="1"/>
    <col min="7" max="7" width="13.5703125" hidden="1" customWidth="1"/>
    <col min="9" max="9" width="15.42578125" bestFit="1" customWidth="1"/>
    <col min="10" max="10" width="14.28515625" bestFit="1" customWidth="1"/>
    <col min="11" max="11" width="20.85546875" customWidth="1"/>
  </cols>
  <sheetData>
    <row r="1" spans="1:11" ht="15.75" thickBot="1" x14ac:dyDescent="0.3">
      <c r="A1" s="5" t="s">
        <v>0</v>
      </c>
      <c r="B1" s="6"/>
      <c r="C1" s="7"/>
      <c r="D1" s="7"/>
      <c r="E1" s="7"/>
    </row>
    <row r="2" spans="1:11" x14ac:dyDescent="0.25">
      <c r="A2" s="5"/>
      <c r="B2" s="73"/>
      <c r="C2" s="8"/>
      <c r="D2" s="9"/>
      <c r="E2" s="7"/>
      <c r="F2" s="4" t="s">
        <v>1</v>
      </c>
      <c r="G2" s="4" t="s">
        <v>2</v>
      </c>
      <c r="I2" s="77" t="s">
        <v>3</v>
      </c>
      <c r="J2" s="78"/>
      <c r="K2" s="79"/>
    </row>
    <row r="3" spans="1:11" x14ac:dyDescent="0.25">
      <c r="A3" s="10"/>
      <c r="B3" s="76"/>
      <c r="C3" s="8"/>
      <c r="D3" s="11"/>
      <c r="E3" s="7"/>
      <c r="F3">
        <v>1997</v>
      </c>
      <c r="G3" s="3">
        <v>0.91080000000000005</v>
      </c>
      <c r="I3" s="65" t="s">
        <v>7</v>
      </c>
      <c r="J3" s="66"/>
      <c r="K3" s="67" t="str">
        <f>IF(COUNTBLANK(J3:J4)=0,$J$3/VLOOKUP($J$4,$F$3:$G$38,2),"")</f>
        <v/>
      </c>
    </row>
    <row r="4" spans="1:11" x14ac:dyDescent="0.25">
      <c r="A4" s="5"/>
      <c r="B4" s="74"/>
      <c r="C4" s="8"/>
      <c r="D4" s="11"/>
      <c r="E4" s="7"/>
      <c r="F4">
        <v>1998</v>
      </c>
      <c r="G4" s="3">
        <v>0.96109999999999995</v>
      </c>
      <c r="I4" s="65" t="s">
        <v>4</v>
      </c>
      <c r="J4" s="68"/>
      <c r="K4" s="67" t="str">
        <f>IF(NOT(ISBLANK(J4)),VLOOKUP($J$4,$F$3:$G$38,2),"")</f>
        <v/>
      </c>
    </row>
    <row r="5" spans="1:11" x14ac:dyDescent="0.25">
      <c r="A5" s="5"/>
      <c r="B5" s="75"/>
      <c r="C5" s="8"/>
      <c r="D5" s="23"/>
      <c r="E5" s="7"/>
      <c r="F5">
        <v>1999</v>
      </c>
      <c r="G5" s="3">
        <v>0.97699999999999998</v>
      </c>
      <c r="I5" s="65" t="s">
        <v>5</v>
      </c>
      <c r="J5" s="68"/>
      <c r="K5" s="67" t="str">
        <f>IF(NOT(ISBLANK(J5)),VLOOKUP($J$5,$F$3:$G$38,2),"")</f>
        <v/>
      </c>
    </row>
    <row r="6" spans="1:11" ht="15.75" thickBot="1" x14ac:dyDescent="0.3">
      <c r="A6" s="7"/>
      <c r="B6" s="6"/>
      <c r="C6" s="8"/>
      <c r="D6" s="11"/>
      <c r="E6" s="7"/>
      <c r="F6">
        <v>2000</v>
      </c>
      <c r="G6" s="3">
        <v>1.0641</v>
      </c>
      <c r="I6" s="69" t="s">
        <v>6</v>
      </c>
      <c r="J6" s="70" t="str">
        <f>IF(COUNTBLANK(J3:J5)=0,J3/K4*K5,"")</f>
        <v/>
      </c>
      <c r="K6" s="71" t="str">
        <f>IF(COUNTBLANK(J3:J5)=0,$J$6/VLOOKUP($J$5,$F$3:$G$38,2),"")</f>
        <v/>
      </c>
    </row>
    <row r="7" spans="1:11" x14ac:dyDescent="0.25">
      <c r="A7" s="5"/>
      <c r="B7" s="9"/>
      <c r="C7" s="72"/>
      <c r="D7" s="7"/>
      <c r="E7" s="7"/>
      <c r="F7">
        <v>2001</v>
      </c>
      <c r="G7" s="3">
        <v>1.0641</v>
      </c>
    </row>
    <row r="8" spans="1:11" x14ac:dyDescent="0.25">
      <c r="A8" s="5"/>
      <c r="B8" s="9"/>
      <c r="C8" s="7"/>
      <c r="D8" s="7"/>
      <c r="E8" s="7"/>
      <c r="F8">
        <v>2002</v>
      </c>
      <c r="G8" s="3">
        <v>1.0641</v>
      </c>
      <c r="I8" s="24" t="s">
        <v>8</v>
      </c>
    </row>
    <row r="9" spans="1:11" x14ac:dyDescent="0.25">
      <c r="A9" s="5"/>
      <c r="B9" s="12"/>
      <c r="C9" s="7"/>
      <c r="D9" s="7"/>
      <c r="E9" s="7"/>
      <c r="F9">
        <v>2003</v>
      </c>
      <c r="G9" s="3">
        <v>1.2490000000000001</v>
      </c>
      <c r="I9" s="26">
        <v>0</v>
      </c>
    </row>
    <row r="10" spans="1:11" x14ac:dyDescent="0.25">
      <c r="A10" s="5"/>
      <c r="B10" s="13"/>
      <c r="C10" s="14"/>
      <c r="D10" s="7"/>
      <c r="E10" s="7"/>
      <c r="F10">
        <v>2004</v>
      </c>
      <c r="G10" s="3">
        <v>1.4460999999999999</v>
      </c>
      <c r="I10" s="26">
        <v>0.02</v>
      </c>
    </row>
    <row r="11" spans="1:11" x14ac:dyDescent="0.25">
      <c r="A11" s="5"/>
      <c r="B11" s="13"/>
      <c r="C11" s="15"/>
      <c r="D11" s="7"/>
      <c r="E11" s="7"/>
      <c r="F11">
        <v>2005</v>
      </c>
      <c r="G11" s="3">
        <v>1.6174999999999999</v>
      </c>
      <c r="I11" s="26">
        <v>0.03</v>
      </c>
    </row>
    <row r="12" spans="1:11" x14ac:dyDescent="0.25">
      <c r="A12" s="5"/>
      <c r="B12" s="16"/>
      <c r="C12" s="7"/>
      <c r="D12" s="7"/>
      <c r="E12" s="7"/>
      <c r="F12">
        <v>2006</v>
      </c>
      <c r="G12" s="3">
        <v>1.6528</v>
      </c>
      <c r="I12" s="26">
        <v>0.04</v>
      </c>
    </row>
    <row r="13" spans="1:11" x14ac:dyDescent="0.25">
      <c r="A13" s="5"/>
      <c r="B13" s="13"/>
      <c r="C13" s="7"/>
      <c r="D13" s="7"/>
      <c r="E13" s="7"/>
      <c r="F13">
        <v>2007</v>
      </c>
      <c r="G13" s="3">
        <v>1.708</v>
      </c>
      <c r="I13" s="26">
        <v>0.05</v>
      </c>
    </row>
    <row r="14" spans="1:11" x14ac:dyDescent="0.25">
      <c r="A14" s="5"/>
      <c r="B14" s="13"/>
      <c r="C14" s="7"/>
      <c r="D14" s="7"/>
      <c r="E14" s="7"/>
      <c r="F14">
        <v>2008</v>
      </c>
      <c r="G14" s="3">
        <v>1.8122</v>
      </c>
      <c r="I14" s="26">
        <v>0.06</v>
      </c>
    </row>
    <row r="15" spans="1:11" x14ac:dyDescent="0.25">
      <c r="A15" s="5"/>
      <c r="B15" s="13"/>
      <c r="C15" s="17"/>
      <c r="D15" s="18"/>
      <c r="E15" s="7"/>
      <c r="F15">
        <v>2009</v>
      </c>
      <c r="G15" s="3">
        <v>2.0348999999999999</v>
      </c>
    </row>
    <row r="16" spans="1:11" x14ac:dyDescent="0.25">
      <c r="A16" s="19"/>
      <c r="B16" s="13"/>
      <c r="C16" s="22"/>
      <c r="D16" s="25"/>
      <c r="E16" s="7"/>
      <c r="F16">
        <v>2010</v>
      </c>
      <c r="G16" s="3">
        <v>1.9991000000000001</v>
      </c>
    </row>
    <row r="17" spans="1:7" x14ac:dyDescent="0.25">
      <c r="A17" s="5"/>
      <c r="B17" s="21"/>
      <c r="C17" s="7"/>
      <c r="D17" s="7"/>
      <c r="E17" s="7"/>
      <c r="F17">
        <v>2011</v>
      </c>
      <c r="G17" s="3">
        <v>2.1812999999999998</v>
      </c>
    </row>
    <row r="18" spans="1:7" x14ac:dyDescent="0.25">
      <c r="A18" s="5"/>
      <c r="B18" s="6"/>
      <c r="C18" s="7"/>
      <c r="D18" s="7"/>
      <c r="E18" s="7"/>
      <c r="F18">
        <v>2012</v>
      </c>
      <c r="G18" s="3">
        <v>2.3290999999999999</v>
      </c>
    </row>
    <row r="19" spans="1:7" x14ac:dyDescent="0.25">
      <c r="A19" s="5"/>
      <c r="B19" s="6"/>
      <c r="C19" s="7"/>
      <c r="D19" s="7"/>
      <c r="E19" s="7"/>
      <c r="F19">
        <v>2013</v>
      </c>
      <c r="G19" s="3">
        <v>2.5015999999999998</v>
      </c>
    </row>
    <row r="20" spans="1:7" x14ac:dyDescent="0.25">
      <c r="A20" s="5"/>
      <c r="B20" s="6"/>
      <c r="C20" s="7"/>
      <c r="D20" s="7"/>
      <c r="E20" s="7"/>
      <c r="F20">
        <v>2014</v>
      </c>
      <c r="G20" s="3">
        <v>2.6381999999999999</v>
      </c>
    </row>
    <row r="21" spans="1:7" x14ac:dyDescent="0.25">
      <c r="A21" s="5"/>
      <c r="B21" s="6"/>
      <c r="C21" s="7"/>
      <c r="D21" s="7"/>
      <c r="E21" s="7"/>
      <c r="F21">
        <v>2015</v>
      </c>
      <c r="G21" s="3">
        <v>2.7229000000000001</v>
      </c>
    </row>
    <row r="22" spans="1:7" x14ac:dyDescent="0.25">
      <c r="A22" s="5"/>
      <c r="B22" s="6"/>
      <c r="C22" s="7"/>
      <c r="D22" s="7"/>
      <c r="E22" s="7"/>
      <c r="F22">
        <v>2016</v>
      </c>
      <c r="G22" s="3">
        <v>3.0108999999999999</v>
      </c>
    </row>
    <row r="23" spans="1:7" x14ac:dyDescent="0.25">
      <c r="A23" s="5"/>
      <c r="B23" s="6"/>
      <c r="C23" s="7"/>
      <c r="D23" s="7"/>
      <c r="E23" s="7"/>
      <c r="F23">
        <v>2017</v>
      </c>
      <c r="G23" s="3">
        <v>3.2513999999999998</v>
      </c>
    </row>
    <row r="24" spans="1:7" x14ac:dyDescent="0.25">
      <c r="A24" s="5"/>
      <c r="B24" s="6"/>
      <c r="C24" s="7"/>
      <c r="D24" s="7"/>
      <c r="E24" s="7"/>
      <c r="F24">
        <v>2018</v>
      </c>
      <c r="G24" s="3">
        <v>3.2513999999999998</v>
      </c>
    </row>
    <row r="25" spans="1:7" x14ac:dyDescent="0.25">
      <c r="A25" s="5"/>
      <c r="B25" s="6"/>
      <c r="C25" s="7"/>
      <c r="D25" s="7"/>
      <c r="E25" s="7"/>
      <c r="F25">
        <v>2019</v>
      </c>
      <c r="G25" s="3">
        <v>3.5931999999999999</v>
      </c>
    </row>
    <row r="26" spans="1:7" x14ac:dyDescent="0.25">
      <c r="A26" s="5"/>
      <c r="B26" s="6"/>
      <c r="C26" s="7"/>
      <c r="D26" s="7"/>
      <c r="E26" s="7"/>
      <c r="F26">
        <v>2020</v>
      </c>
      <c r="G26" s="3">
        <v>3.7115999999999998</v>
      </c>
    </row>
    <row r="27" spans="1:7" x14ac:dyDescent="0.25">
      <c r="A27" s="5"/>
      <c r="B27" s="6"/>
      <c r="C27" s="7"/>
      <c r="D27" s="7"/>
      <c r="E27" s="7"/>
      <c r="F27">
        <v>2021</v>
      </c>
      <c r="G27" s="3">
        <v>3.944</v>
      </c>
    </row>
    <row r="28" spans="1:7" x14ac:dyDescent="0.25">
      <c r="A28" s="5"/>
      <c r="B28" s="6"/>
      <c r="C28" s="7"/>
      <c r="D28" s="7"/>
      <c r="E28" s="7"/>
      <c r="F28">
        <v>2022</v>
      </c>
      <c r="G28" s="3">
        <v>4.7702999999999998</v>
      </c>
    </row>
    <row r="29" spans="1:7" x14ac:dyDescent="0.25">
      <c r="A29" s="5"/>
      <c r="B29" s="6"/>
      <c r="C29" s="7"/>
      <c r="D29" s="7"/>
      <c r="E29" s="7"/>
    </row>
    <row r="30" spans="1:7" x14ac:dyDescent="0.25">
      <c r="A30" s="5"/>
      <c r="B30" s="6"/>
      <c r="C30" s="7"/>
      <c r="D30" s="7"/>
      <c r="E30" s="7"/>
    </row>
    <row r="31" spans="1:7" x14ac:dyDescent="0.25">
      <c r="A31" s="5"/>
      <c r="B31" s="6"/>
      <c r="C31" s="7"/>
      <c r="D31" s="7"/>
      <c r="E31" s="7"/>
    </row>
    <row r="32" spans="1:7" x14ac:dyDescent="0.25">
      <c r="A32" s="5"/>
      <c r="B32" s="6"/>
      <c r="C32" s="7"/>
      <c r="D32" s="7"/>
      <c r="E32" s="7"/>
    </row>
    <row r="33" spans="1:5" x14ac:dyDescent="0.25">
      <c r="A33" s="5"/>
      <c r="B33" s="6"/>
      <c r="C33" s="7"/>
      <c r="D33" s="7"/>
      <c r="E33" s="7"/>
    </row>
    <row r="34" spans="1:5" x14ac:dyDescent="0.25">
      <c r="A34" s="5"/>
      <c r="B34" s="6"/>
      <c r="C34" s="7"/>
      <c r="D34" s="7"/>
      <c r="E34" s="7"/>
    </row>
    <row r="35" spans="1:5" x14ac:dyDescent="0.25">
      <c r="A35" s="5"/>
      <c r="B35" s="6"/>
      <c r="C35" s="7"/>
      <c r="D35" s="7"/>
      <c r="E35" s="7"/>
    </row>
    <row r="36" spans="1:5" x14ac:dyDescent="0.25">
      <c r="A36" s="5"/>
      <c r="B36" s="6"/>
      <c r="C36" s="7"/>
      <c r="D36" s="7"/>
      <c r="E36" s="7"/>
    </row>
    <row r="37" spans="1:5" x14ac:dyDescent="0.25">
      <c r="A37" s="5"/>
      <c r="B37" s="6"/>
      <c r="C37" s="7"/>
      <c r="D37" s="7"/>
      <c r="E37" s="7"/>
    </row>
    <row r="38" spans="1:5" x14ac:dyDescent="0.25">
      <c r="A38" s="5"/>
      <c r="B38" s="6"/>
      <c r="C38" s="7"/>
      <c r="D38" s="7"/>
      <c r="E38" s="7"/>
    </row>
    <row r="39" spans="1:5" x14ac:dyDescent="0.25">
      <c r="A39" s="5"/>
      <c r="B39" s="6"/>
      <c r="C39" s="7"/>
      <c r="D39" s="7"/>
      <c r="E39" s="7"/>
    </row>
    <row r="40" spans="1:5" x14ac:dyDescent="0.25">
      <c r="A40" s="5"/>
      <c r="B40" s="6"/>
      <c r="C40" s="7"/>
      <c r="D40" s="7"/>
      <c r="E40" s="7"/>
    </row>
    <row r="41" spans="1:5" x14ac:dyDescent="0.25">
      <c r="A41" s="5"/>
      <c r="B41" s="6"/>
      <c r="C41" s="7"/>
      <c r="D41" s="7"/>
      <c r="E41" s="7"/>
    </row>
    <row r="42" spans="1:5" x14ac:dyDescent="0.25">
      <c r="A42" s="5"/>
      <c r="B42" s="6"/>
      <c r="C42" s="7"/>
      <c r="D42" s="7"/>
      <c r="E42" s="7"/>
    </row>
    <row r="43" spans="1:5" x14ac:dyDescent="0.25">
      <c r="A43" s="5"/>
      <c r="B43" s="6"/>
      <c r="C43" s="7"/>
      <c r="D43" s="7"/>
      <c r="E43" s="7"/>
    </row>
    <row r="44" spans="1:5" x14ac:dyDescent="0.25">
      <c r="A44" s="5"/>
      <c r="B44" s="6"/>
      <c r="C44" s="7"/>
      <c r="D44" s="7"/>
      <c r="E44" s="7"/>
    </row>
    <row r="45" spans="1:5" x14ac:dyDescent="0.25">
      <c r="A45" s="5"/>
      <c r="B45" s="6"/>
      <c r="C45" s="7"/>
      <c r="D45" s="7"/>
      <c r="E45" s="7"/>
    </row>
    <row r="46" spans="1:5" x14ac:dyDescent="0.25">
      <c r="A46" s="5"/>
      <c r="B46" s="6"/>
      <c r="C46" s="7"/>
      <c r="D46" s="7"/>
      <c r="E46" s="7"/>
    </row>
    <row r="47" spans="1:5" x14ac:dyDescent="0.25">
      <c r="A47" s="5"/>
      <c r="B47" s="6"/>
      <c r="C47" s="7"/>
      <c r="D47" s="7"/>
      <c r="E47" s="7"/>
    </row>
    <row r="48" spans="1:5" x14ac:dyDescent="0.25">
      <c r="A48" s="5"/>
      <c r="B48" s="6"/>
      <c r="C48" s="7"/>
      <c r="D48" s="7"/>
      <c r="E48" s="7"/>
    </row>
    <row r="49" spans="1:5" x14ac:dyDescent="0.25">
      <c r="A49" s="5"/>
      <c r="B49" s="6"/>
      <c r="C49" s="7"/>
      <c r="D49" s="7"/>
      <c r="E49" s="7"/>
    </row>
    <row r="50" spans="1:5" x14ac:dyDescent="0.25">
      <c r="A50" s="5"/>
      <c r="B50" s="6"/>
      <c r="C50" s="7"/>
      <c r="D50" s="7"/>
      <c r="E50" s="7"/>
    </row>
    <row r="51" spans="1:5" x14ac:dyDescent="0.25">
      <c r="A51" s="1"/>
    </row>
    <row r="52" spans="1:5" x14ac:dyDescent="0.25">
      <c r="A52" s="1"/>
    </row>
    <row r="53" spans="1:5" x14ac:dyDescent="0.25">
      <c r="A53" s="1"/>
    </row>
    <row r="54" spans="1:5" x14ac:dyDescent="0.25">
      <c r="A54" s="1"/>
    </row>
    <row r="55" spans="1:5" x14ac:dyDescent="0.25">
      <c r="A55" s="1"/>
    </row>
    <row r="56" spans="1:5" x14ac:dyDescent="0.25">
      <c r="A56" s="1"/>
    </row>
    <row r="57" spans="1:5" x14ac:dyDescent="0.25">
      <c r="A57" s="1"/>
    </row>
    <row r="58" spans="1:5" x14ac:dyDescent="0.25">
      <c r="A58" s="1"/>
    </row>
    <row r="59" spans="1:5" x14ac:dyDescent="0.25">
      <c r="A59" s="1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1</v>
      </c>
    </row>
    <row r="103" spans="702:702" x14ac:dyDescent="0.25">
      <c r="ZZ103">
        <f>YEAR(D2)</f>
        <v>1900</v>
      </c>
    </row>
  </sheetData>
  <mergeCells count="1">
    <mergeCell ref="I2:K2"/>
  </mergeCells>
  <conditionalFormatting sqref="B8">
    <cfRule type="expression" dxfId="14" priority="15">
      <formula>"B8&lt;D2"</formula>
    </cfRule>
  </conditionalFormatting>
  <conditionalFormatting sqref="C11">
    <cfRule type="cellIs" dxfId="13" priority="14" operator="between">
      <formula>1</formula>
      <formula>48000</formula>
    </cfRule>
  </conditionalFormatting>
  <conditionalFormatting sqref="C4:D4">
    <cfRule type="expression" dxfId="12" priority="12">
      <formula>AND($D$4&lt;&gt;"Sim",$C$4&lt;&gt;"")</formula>
    </cfRule>
    <cfRule type="expression" dxfId="11" priority="5">
      <formula>$D$4="Sim"</formula>
    </cfRule>
  </conditionalFormatting>
  <conditionalFormatting sqref="C3:D3">
    <cfRule type="expression" dxfId="10" priority="11">
      <formula>AND($D$3&lt;&gt;"Sim",$C$3&lt;&gt;"")</formula>
    </cfRule>
    <cfRule type="expression" dxfId="9" priority="6">
      <formula>$D$3="Sim"</formula>
    </cfRule>
  </conditionalFormatting>
  <conditionalFormatting sqref="C5:D5">
    <cfRule type="expression" dxfId="8" priority="10">
      <formula>AND($D$5=0,$C$5&lt;&gt;"")</formula>
    </cfRule>
    <cfRule type="expression" dxfId="7" priority="4">
      <formula>$D$5&lt;&gt;0</formula>
    </cfRule>
  </conditionalFormatting>
  <conditionalFormatting sqref="K3 K6">
    <cfRule type="expression" dxfId="6" priority="9">
      <formula>$K$3=$K$6</formula>
    </cfRule>
  </conditionalFormatting>
  <conditionalFormatting sqref="C6:D6">
    <cfRule type="expression" dxfId="5" priority="8">
      <formula>AND($D$6&lt;&gt;"Sim",$C$6&lt;&gt;"")</formula>
    </cfRule>
    <cfRule type="expression" dxfId="4" priority="3">
      <formula>$D$6="Sim"</formula>
    </cfRule>
  </conditionalFormatting>
  <conditionalFormatting sqref="C7:D7">
    <cfRule type="expression" dxfId="3" priority="7">
      <formula>AND($D$7&lt;&gt;"Sim",$C$7&lt;&gt;"")</formula>
    </cfRule>
    <cfRule type="expression" dxfId="2" priority="2">
      <formula>$D$7="Sim"</formula>
    </cfRule>
  </conditionalFormatting>
  <conditionalFormatting sqref="D3:D4 D6">
    <cfRule type="cellIs" dxfId="1" priority="1" operator="equal">
      <formula>"Não"</formula>
    </cfRule>
  </conditionalFormatting>
  <dataValidations count="4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D3:D4 D6" xr:uid="{D35A146A-570D-4AFA-ACC0-D3D6636B30A5}">
      <formula1>"Sim,Não"</formula1>
    </dataValidation>
    <dataValidation type="list" allowBlank="1" showInputMessage="1" showErrorMessage="1" sqref="B12" xr:uid="{8352D6E2-4A40-48CC-A2E1-78461245819B}">
      <formula1>$I$9:$I$16</formula1>
    </dataValidation>
    <dataValidation type="list" allowBlank="1" showInputMessage="1" showErrorMessage="1" errorTitle="ERRO" error="Escolha um valor na lista" sqref="D7" xr:uid="{C504D989-422F-4CC9-B9E0-1542B2E6992B}">
      <formula1>"Sim,Não"</formula1>
    </dataValidation>
  </dataValidations>
  <pageMargins left="0.7" right="0.7" top="0.75" bottom="0.75" header="0.3" footer="0.3"/>
  <pageSetup paperSize="9" orientation="portrait" r:id="rId1"/>
  <headerFooter>
    <oddHeader>&amp;C&amp;"Arial Black,Bold"&amp;14DEMONSTRATIVO DE CÁLCULO DO ITCD</oddHeader>
  </headerFooter>
  <ignoredErrors>
    <ignoredError sqref="K3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3FBC-D2F9-4FF9-BBDA-1D3D4676B66F}">
  <sheetPr codeName="Sheet2"/>
  <dimension ref="A1:W100"/>
  <sheetViews>
    <sheetView zoomScaleNormal="100" workbookViewId="0">
      <selection activeCell="A2" sqref="A2"/>
    </sheetView>
  </sheetViews>
  <sheetFormatPr defaultRowHeight="15" x14ac:dyDescent="0.25"/>
  <cols>
    <col min="1" max="1" width="27.7109375" style="49" customWidth="1"/>
    <col min="2" max="2" width="27.7109375" style="45" customWidth="1"/>
    <col min="3" max="3" width="12.5703125" style="40" bestFit="1" customWidth="1"/>
    <col min="4" max="4" width="15.28515625" style="40" bestFit="1" customWidth="1"/>
    <col min="5" max="5" width="15" style="47" customWidth="1"/>
    <col min="6" max="6" width="14.42578125" style="41" customWidth="1"/>
    <col min="7" max="7" width="19.42578125" style="39" bestFit="1" customWidth="1"/>
    <col min="8" max="8" width="7.140625" style="48" bestFit="1" customWidth="1"/>
    <col min="9" max="9" width="9.7109375" bestFit="1" customWidth="1"/>
    <col min="10" max="10" width="14.28515625" bestFit="1" customWidth="1"/>
    <col min="12" max="12" width="2.7109375" style="50" customWidth="1"/>
    <col min="16" max="16" width="11.7109375" style="20" customWidth="1"/>
    <col min="17" max="17" width="14" customWidth="1"/>
    <col min="20" max="21" width="11.7109375" bestFit="1" customWidth="1"/>
    <col min="22" max="22" width="12.7109375" bestFit="1" customWidth="1"/>
    <col min="23" max="23" width="11.7109375" bestFit="1" customWidth="1"/>
  </cols>
  <sheetData>
    <row r="1" spans="1:23" x14ac:dyDescent="0.25">
      <c r="A1" s="42" t="s">
        <v>24</v>
      </c>
      <c r="B1" s="44" t="s">
        <v>33</v>
      </c>
      <c r="C1" s="42" t="s">
        <v>31</v>
      </c>
      <c r="D1" s="42" t="s">
        <v>32</v>
      </c>
      <c r="E1" s="46" t="s">
        <v>25</v>
      </c>
      <c r="F1" s="43" t="s">
        <v>26</v>
      </c>
      <c r="G1" s="43" t="s">
        <v>27</v>
      </c>
      <c r="H1" s="43" t="s">
        <v>29</v>
      </c>
      <c r="I1" s="38" t="s">
        <v>28</v>
      </c>
      <c r="J1" s="64">
        <v>0.2</v>
      </c>
      <c r="M1" s="42" t="s">
        <v>34</v>
      </c>
      <c r="N1" s="42" t="s">
        <v>35</v>
      </c>
      <c r="O1" s="42" t="s">
        <v>36</v>
      </c>
      <c r="P1" s="42" t="s">
        <v>37</v>
      </c>
      <c r="Q1" s="42" t="s">
        <v>38</v>
      </c>
      <c r="S1" s="80" t="s">
        <v>43</v>
      </c>
      <c r="T1" s="80"/>
      <c r="U1" s="80"/>
      <c r="V1" s="80"/>
      <c r="W1" s="80"/>
    </row>
    <row r="2" spans="1:23" x14ac:dyDescent="0.25">
      <c r="A2" s="55"/>
      <c r="B2" s="56"/>
      <c r="C2" s="57"/>
      <c r="D2" s="57"/>
      <c r="E2" s="58"/>
      <c r="F2" s="59"/>
      <c r="G2" s="61"/>
      <c r="H2" s="62"/>
      <c r="I2" s="38" t="s">
        <v>30</v>
      </c>
      <c r="J2" s="64">
        <v>0.7</v>
      </c>
      <c r="M2" s="54"/>
      <c r="N2" s="54"/>
      <c r="O2" s="54"/>
      <c r="P2" s="20" t="str">
        <f>IF(COUNTBLANK(M2:O2)=0,INDEX($S$2:$W$4,MATCH(M2,$S$2:$S$4,0),MATCH(N2,$S$2:$W$2,0)),"")</f>
        <v/>
      </c>
      <c r="Q2" s="51" t="str">
        <f>IF(COUNTBLANK(M2:P2)=0, O2*P2,"")</f>
        <v/>
      </c>
      <c r="S2" s="53" t="s">
        <v>34</v>
      </c>
      <c r="T2" s="53" t="s">
        <v>44</v>
      </c>
      <c r="U2" s="53" t="s">
        <v>40</v>
      </c>
      <c r="V2" s="53" t="s">
        <v>45</v>
      </c>
      <c r="W2" s="53" t="s">
        <v>42</v>
      </c>
    </row>
    <row r="3" spans="1:23" x14ac:dyDescent="0.25">
      <c r="A3" s="55"/>
      <c r="B3" s="56"/>
      <c r="C3" s="57"/>
      <c r="D3" s="57"/>
      <c r="E3" s="58"/>
      <c r="F3" s="59"/>
      <c r="G3" s="61"/>
      <c r="H3" s="62"/>
      <c r="M3" s="54"/>
      <c r="N3" s="54"/>
      <c r="O3" s="54"/>
      <c r="P3" s="20" t="str">
        <f t="shared" ref="P3:P10" si="0">IF(COUNTBLANK(M3:O3)=0,INDEX($S$2:$W$4,MATCH(M3,$S$2:$S$4,0),MATCH(N3,$S$2:$W$2,0)),"")</f>
        <v/>
      </c>
      <c r="Q3" s="51" t="str">
        <f t="shared" ref="Q3:Q10" si="1">IF(COUNTBLANK(M3:P3)=0, O3*P3,"")</f>
        <v/>
      </c>
      <c r="S3" s="53" t="s">
        <v>39</v>
      </c>
      <c r="T3" s="20">
        <v>1420</v>
      </c>
      <c r="U3" s="20">
        <v>1930</v>
      </c>
      <c r="V3" s="20">
        <v>2750</v>
      </c>
      <c r="W3" s="20">
        <v>3300</v>
      </c>
    </row>
    <row r="4" spans="1:23" x14ac:dyDescent="0.25">
      <c r="A4" s="55"/>
      <c r="B4" s="56"/>
      <c r="C4" s="57"/>
      <c r="D4" s="57"/>
      <c r="E4" s="58"/>
      <c r="F4" s="59"/>
      <c r="G4" s="61"/>
      <c r="H4" s="62"/>
      <c r="M4" s="54"/>
      <c r="N4" s="54"/>
      <c r="O4" s="54"/>
      <c r="P4" s="20" t="str">
        <f t="shared" si="0"/>
        <v/>
      </c>
      <c r="Q4" s="51" t="str">
        <f t="shared" si="1"/>
        <v/>
      </c>
      <c r="S4" s="53" t="s">
        <v>41</v>
      </c>
      <c r="T4" s="20">
        <v>1280</v>
      </c>
      <c r="U4" s="20">
        <v>1740</v>
      </c>
      <c r="V4" s="20">
        <v>2500</v>
      </c>
      <c r="W4" s="20">
        <v>3000</v>
      </c>
    </row>
    <row r="5" spans="1:23" x14ac:dyDescent="0.25">
      <c r="A5" s="55"/>
      <c r="B5" s="56"/>
      <c r="C5" s="57"/>
      <c r="D5" s="57"/>
      <c r="E5" s="58"/>
      <c r="F5" s="59"/>
      <c r="G5" s="61"/>
      <c r="H5" s="62"/>
      <c r="M5" s="54"/>
      <c r="N5" s="54"/>
      <c r="O5" s="54"/>
      <c r="P5" s="20" t="str">
        <f t="shared" si="0"/>
        <v/>
      </c>
      <c r="Q5" s="51" t="str">
        <f t="shared" si="1"/>
        <v/>
      </c>
    </row>
    <row r="6" spans="1:23" x14ac:dyDescent="0.25">
      <c r="A6" s="55"/>
      <c r="B6" s="56"/>
      <c r="C6" s="57"/>
      <c r="D6" s="57"/>
      <c r="E6" s="58"/>
      <c r="F6" s="59"/>
      <c r="G6" s="61"/>
      <c r="H6" s="62"/>
      <c r="M6" s="54"/>
      <c r="N6" s="54"/>
      <c r="O6" s="54"/>
      <c r="P6" s="20" t="str">
        <f t="shared" si="0"/>
        <v/>
      </c>
      <c r="Q6" s="51" t="str">
        <f t="shared" si="1"/>
        <v/>
      </c>
    </row>
    <row r="7" spans="1:23" x14ac:dyDescent="0.25">
      <c r="A7" s="55"/>
      <c r="B7" s="56"/>
      <c r="C7" s="57"/>
      <c r="D7" s="57"/>
      <c r="E7" s="58"/>
      <c r="F7" s="59"/>
      <c r="G7" s="61"/>
      <c r="H7" s="62"/>
      <c r="M7" s="54"/>
      <c r="N7" s="54"/>
      <c r="O7" s="54"/>
      <c r="P7" s="20" t="str">
        <f t="shared" si="0"/>
        <v/>
      </c>
      <c r="Q7" s="51" t="str">
        <f t="shared" si="1"/>
        <v/>
      </c>
    </row>
    <row r="8" spans="1:23" x14ac:dyDescent="0.25">
      <c r="A8" s="55"/>
      <c r="B8" s="56"/>
      <c r="C8" s="57"/>
      <c r="D8" s="57"/>
      <c r="E8" s="58"/>
      <c r="F8" s="59"/>
      <c r="G8" s="61"/>
      <c r="H8" s="62"/>
      <c r="M8" s="54"/>
      <c r="N8" s="54"/>
      <c r="O8" s="54"/>
      <c r="P8" s="20" t="str">
        <f t="shared" si="0"/>
        <v/>
      </c>
      <c r="Q8" s="51" t="str">
        <f t="shared" si="1"/>
        <v/>
      </c>
    </row>
    <row r="9" spans="1:23" x14ac:dyDescent="0.25">
      <c r="A9" s="55"/>
      <c r="B9" s="56"/>
      <c r="C9" s="57"/>
      <c r="D9" s="57"/>
      <c r="E9" s="58"/>
      <c r="F9" s="59"/>
      <c r="G9" s="61"/>
      <c r="H9" s="62"/>
      <c r="M9" s="54"/>
      <c r="N9" s="54"/>
      <c r="O9" s="54"/>
      <c r="P9" s="20" t="str">
        <f t="shared" si="0"/>
        <v/>
      </c>
      <c r="Q9" s="51" t="str">
        <f t="shared" si="1"/>
        <v/>
      </c>
    </row>
    <row r="10" spans="1:23" x14ac:dyDescent="0.25">
      <c r="A10" s="55"/>
      <c r="B10" s="56"/>
      <c r="C10" s="57"/>
      <c r="D10" s="57"/>
      <c r="E10" s="58"/>
      <c r="F10" s="59"/>
      <c r="G10" s="61"/>
      <c r="H10" s="62"/>
      <c r="M10" s="54"/>
      <c r="N10" s="54"/>
      <c r="O10" s="54"/>
      <c r="P10" s="20" t="str">
        <f t="shared" si="0"/>
        <v/>
      </c>
      <c r="Q10" s="51" t="str">
        <f t="shared" si="1"/>
        <v/>
      </c>
    </row>
    <row r="11" spans="1:23" x14ac:dyDescent="0.25">
      <c r="A11" s="55"/>
      <c r="B11" s="56"/>
      <c r="C11" s="57"/>
      <c r="D11" s="57"/>
      <c r="E11" s="58"/>
      <c r="F11" s="59"/>
      <c r="G11" s="61"/>
      <c r="H11" s="62"/>
      <c r="M11" s="52"/>
      <c r="N11" s="52"/>
      <c r="O11" s="52" t="str">
        <f>IF(COUNTBLANK(O2:O10)&lt;9,SUM(O2:O10),"")</f>
        <v/>
      </c>
      <c r="P11" s="51"/>
      <c r="Q11" s="51" t="str">
        <f>IF(SUM(Q2:Q10)&gt;0,SUM(Q2:Q10),"")</f>
        <v/>
      </c>
    </row>
    <row r="12" spans="1:23" x14ac:dyDescent="0.25">
      <c r="A12" s="55"/>
      <c r="B12" s="56"/>
      <c r="C12" s="57"/>
      <c r="D12" s="57"/>
      <c r="E12" s="58"/>
      <c r="F12" s="59"/>
      <c r="G12" s="61"/>
      <c r="H12" s="62"/>
      <c r="Q12" s="20"/>
    </row>
    <row r="13" spans="1:23" x14ac:dyDescent="0.25">
      <c r="A13" s="55"/>
      <c r="B13" s="56"/>
      <c r="C13" s="57"/>
      <c r="D13" s="57"/>
      <c r="E13" s="58"/>
      <c r="F13" s="60"/>
      <c r="G13" s="61"/>
      <c r="H13" s="62"/>
      <c r="Q13" s="20"/>
    </row>
    <row r="14" spans="1:23" x14ac:dyDescent="0.25">
      <c r="A14" s="55"/>
      <c r="B14" s="56"/>
      <c r="C14" s="57"/>
      <c r="D14" s="57"/>
      <c r="E14" s="58"/>
      <c r="F14" s="59"/>
      <c r="G14" s="63"/>
      <c r="H14" s="62"/>
      <c r="Q14" s="20"/>
    </row>
    <row r="15" spans="1:23" x14ac:dyDescent="0.25">
      <c r="A15" s="55"/>
      <c r="B15" s="56"/>
      <c r="C15" s="57"/>
      <c r="D15" s="57"/>
      <c r="E15" s="58"/>
      <c r="F15" s="59"/>
      <c r="G15" s="63"/>
      <c r="H15" s="62"/>
      <c r="Q15" s="20"/>
    </row>
    <row r="16" spans="1:23" x14ac:dyDescent="0.25">
      <c r="A16" s="55"/>
      <c r="B16" s="56"/>
      <c r="C16" s="57"/>
      <c r="D16" s="57"/>
      <c r="E16" s="58"/>
      <c r="F16" s="59"/>
      <c r="G16" s="63"/>
      <c r="H16" s="62"/>
      <c r="Q16" s="20"/>
    </row>
    <row r="17" spans="1:17" x14ac:dyDescent="0.25">
      <c r="A17" s="55"/>
      <c r="B17" s="56"/>
      <c r="C17" s="57"/>
      <c r="D17" s="57"/>
      <c r="E17" s="58"/>
      <c r="F17" s="59"/>
      <c r="G17" s="63"/>
      <c r="H17" s="62"/>
      <c r="Q17" s="20"/>
    </row>
    <row r="18" spans="1:17" x14ac:dyDescent="0.25">
      <c r="A18" s="55"/>
      <c r="B18" s="56"/>
      <c r="C18" s="57"/>
      <c r="D18" s="57"/>
      <c r="E18" s="58"/>
      <c r="F18" s="59"/>
      <c r="G18" s="63"/>
      <c r="H18" s="62"/>
      <c r="Q18" s="20"/>
    </row>
    <row r="19" spans="1:17" x14ac:dyDescent="0.25">
      <c r="A19" s="55"/>
      <c r="B19" s="56"/>
      <c r="C19" s="57"/>
      <c r="D19" s="57"/>
      <c r="E19" s="58"/>
      <c r="F19" s="59"/>
      <c r="G19" s="63"/>
      <c r="H19" s="62"/>
      <c r="Q19" s="20"/>
    </row>
    <row r="20" spans="1:17" x14ac:dyDescent="0.25">
      <c r="A20" s="55"/>
      <c r="B20" s="56"/>
      <c r="C20" s="57"/>
      <c r="D20" s="57"/>
      <c r="E20" s="58"/>
      <c r="F20" s="59"/>
      <c r="G20" s="63"/>
      <c r="H20" s="62"/>
      <c r="Q20" s="20"/>
    </row>
    <row r="21" spans="1:17" x14ac:dyDescent="0.25">
      <c r="A21" s="55"/>
      <c r="B21" s="56"/>
      <c r="C21" s="57"/>
      <c r="D21" s="57"/>
      <c r="E21" s="58"/>
      <c r="F21" s="59"/>
      <c r="G21" s="63"/>
      <c r="H21" s="62"/>
      <c r="Q21" s="20"/>
    </row>
    <row r="22" spans="1:17" x14ac:dyDescent="0.25">
      <c r="A22" s="55"/>
      <c r="B22" s="56"/>
      <c r="C22" s="57"/>
      <c r="D22" s="57"/>
      <c r="E22" s="58"/>
      <c r="F22" s="59"/>
      <c r="G22" s="63"/>
      <c r="H22" s="62"/>
      <c r="Q22" s="20"/>
    </row>
    <row r="23" spans="1:17" x14ac:dyDescent="0.25">
      <c r="A23" s="55"/>
      <c r="B23" s="56"/>
      <c r="C23" s="57"/>
      <c r="D23" s="57"/>
      <c r="E23" s="58"/>
      <c r="F23" s="59"/>
      <c r="G23" s="63"/>
      <c r="H23" s="62"/>
      <c r="Q23" s="20"/>
    </row>
    <row r="24" spans="1:17" x14ac:dyDescent="0.25">
      <c r="A24" s="55"/>
      <c r="B24" s="56"/>
      <c r="C24" s="57"/>
      <c r="D24" s="57"/>
      <c r="E24" s="58"/>
      <c r="F24" s="59"/>
      <c r="G24" s="63"/>
      <c r="H24" s="62"/>
      <c r="Q24" s="20"/>
    </row>
    <row r="25" spans="1:17" x14ac:dyDescent="0.25">
      <c r="A25" s="55"/>
      <c r="B25" s="56"/>
      <c r="C25" s="57"/>
      <c r="D25" s="57"/>
      <c r="E25" s="58"/>
      <c r="F25" s="59"/>
      <c r="G25" s="63"/>
      <c r="H25" s="62"/>
      <c r="Q25" s="20"/>
    </row>
    <row r="26" spans="1:17" x14ac:dyDescent="0.25">
      <c r="A26" s="55"/>
      <c r="B26" s="56"/>
      <c r="C26" s="57"/>
      <c r="D26" s="57"/>
      <c r="E26" s="58"/>
      <c r="F26" s="59"/>
      <c r="G26" s="63"/>
      <c r="H26" s="62"/>
      <c r="Q26" s="20"/>
    </row>
    <row r="27" spans="1:17" x14ac:dyDescent="0.25">
      <c r="A27" s="55"/>
      <c r="B27" s="56"/>
      <c r="C27" s="57"/>
      <c r="D27" s="57"/>
      <c r="E27" s="58"/>
      <c r="F27" s="59"/>
      <c r="G27" s="63"/>
      <c r="H27" s="62"/>
      <c r="Q27" s="20"/>
    </row>
    <row r="28" spans="1:17" x14ac:dyDescent="0.25">
      <c r="A28" s="55"/>
      <c r="B28" s="56"/>
      <c r="C28" s="57"/>
      <c r="D28" s="57"/>
      <c r="E28" s="58"/>
      <c r="F28" s="59"/>
      <c r="G28" s="63"/>
      <c r="H28" s="62"/>
      <c r="Q28" s="20"/>
    </row>
    <row r="29" spans="1:17" x14ac:dyDescent="0.25">
      <c r="A29" s="55"/>
      <c r="B29" s="56"/>
      <c r="C29" s="57"/>
      <c r="D29" s="57"/>
      <c r="E29" s="58"/>
      <c r="F29" s="59"/>
      <c r="G29" s="63"/>
      <c r="H29" s="62"/>
      <c r="Q29" s="20"/>
    </row>
    <row r="30" spans="1:17" x14ac:dyDescent="0.25">
      <c r="A30" s="55"/>
      <c r="B30" s="56"/>
      <c r="C30" s="57"/>
      <c r="D30" s="57"/>
      <c r="E30" s="58"/>
      <c r="F30" s="59"/>
      <c r="G30" s="63"/>
      <c r="H30" s="62"/>
      <c r="Q30" s="20"/>
    </row>
    <row r="31" spans="1:17" x14ac:dyDescent="0.25">
      <c r="A31" s="55"/>
      <c r="B31" s="56"/>
      <c r="C31" s="57"/>
      <c r="D31" s="57"/>
      <c r="E31" s="58"/>
      <c r="F31" s="59"/>
      <c r="G31" s="63"/>
      <c r="H31" s="62"/>
      <c r="Q31" s="20"/>
    </row>
    <row r="32" spans="1:17" x14ac:dyDescent="0.25">
      <c r="A32" s="55"/>
      <c r="B32" s="56"/>
      <c r="C32" s="57"/>
      <c r="D32" s="57"/>
      <c r="E32" s="58"/>
      <c r="F32" s="59"/>
      <c r="G32" s="63"/>
      <c r="H32" s="62"/>
      <c r="Q32" s="20"/>
    </row>
    <row r="33" spans="1:17" x14ac:dyDescent="0.25">
      <c r="A33" s="55"/>
      <c r="B33" s="56"/>
      <c r="C33" s="57"/>
      <c r="D33" s="57"/>
      <c r="E33" s="58"/>
      <c r="F33" s="59"/>
      <c r="G33" s="63"/>
      <c r="H33" s="62"/>
      <c r="Q33" s="20"/>
    </row>
    <row r="34" spans="1:17" x14ac:dyDescent="0.25">
      <c r="A34" s="55"/>
      <c r="B34" s="56"/>
      <c r="C34" s="57"/>
      <c r="D34" s="57"/>
      <c r="E34" s="58"/>
      <c r="F34" s="59"/>
      <c r="G34" s="63"/>
      <c r="H34" s="62"/>
      <c r="Q34" s="20"/>
    </row>
    <row r="35" spans="1:17" x14ac:dyDescent="0.25">
      <c r="A35" s="55"/>
      <c r="B35" s="56"/>
      <c r="C35" s="57"/>
      <c r="D35" s="57"/>
      <c r="E35" s="58"/>
      <c r="F35" s="59"/>
      <c r="G35" s="63"/>
      <c r="H35" s="62"/>
      <c r="Q35" s="20"/>
    </row>
    <row r="36" spans="1:17" x14ac:dyDescent="0.25">
      <c r="A36" s="55"/>
      <c r="B36" s="56"/>
      <c r="C36" s="57"/>
      <c r="D36" s="57"/>
      <c r="E36" s="58"/>
      <c r="F36" s="59"/>
      <c r="G36" s="63"/>
      <c r="H36" s="62"/>
      <c r="Q36" s="20"/>
    </row>
    <row r="37" spans="1:17" x14ac:dyDescent="0.25">
      <c r="A37" s="55"/>
      <c r="B37" s="56"/>
      <c r="C37" s="57"/>
      <c r="D37" s="57"/>
      <c r="E37" s="58"/>
      <c r="F37" s="59"/>
      <c r="G37" s="63"/>
      <c r="H37" s="62"/>
      <c r="Q37" s="20"/>
    </row>
    <row r="38" spans="1:17" x14ac:dyDescent="0.25">
      <c r="A38" s="55"/>
      <c r="B38" s="56"/>
      <c r="C38" s="57"/>
      <c r="D38" s="57"/>
      <c r="E38" s="58"/>
      <c r="F38" s="59"/>
      <c r="G38" s="63"/>
      <c r="H38" s="62"/>
      <c r="Q38" s="20"/>
    </row>
    <row r="39" spans="1:17" x14ac:dyDescent="0.25">
      <c r="A39" s="55"/>
      <c r="B39" s="56"/>
      <c r="C39" s="57"/>
      <c r="D39" s="57"/>
      <c r="E39" s="58"/>
      <c r="F39" s="59"/>
      <c r="G39" s="63"/>
      <c r="H39" s="62"/>
      <c r="Q39" s="20"/>
    </row>
    <row r="40" spans="1:17" x14ac:dyDescent="0.25">
      <c r="A40" s="55"/>
      <c r="B40" s="56"/>
      <c r="C40" s="57"/>
      <c r="D40" s="57"/>
      <c r="E40" s="58"/>
      <c r="F40" s="59"/>
      <c r="G40" s="63"/>
      <c r="H40" s="62"/>
      <c r="Q40" s="20"/>
    </row>
    <row r="41" spans="1:17" x14ac:dyDescent="0.25">
      <c r="A41" s="55"/>
      <c r="B41" s="56"/>
      <c r="C41" s="57"/>
      <c r="D41" s="57"/>
      <c r="E41" s="58"/>
      <c r="F41" s="59"/>
      <c r="G41" s="63"/>
      <c r="H41" s="62"/>
      <c r="Q41" s="20"/>
    </row>
    <row r="42" spans="1:17" x14ac:dyDescent="0.25">
      <c r="A42" s="55"/>
      <c r="B42" s="56"/>
      <c r="C42" s="57"/>
      <c r="D42" s="57"/>
      <c r="E42" s="58"/>
      <c r="F42" s="59"/>
      <c r="G42" s="63"/>
      <c r="H42" s="62"/>
      <c r="Q42" s="20"/>
    </row>
    <row r="43" spans="1:17" x14ac:dyDescent="0.25">
      <c r="A43" s="55"/>
      <c r="B43" s="56"/>
      <c r="C43" s="57"/>
      <c r="D43" s="57"/>
      <c r="E43" s="58"/>
      <c r="F43" s="59"/>
      <c r="G43" s="63"/>
      <c r="H43" s="62"/>
      <c r="Q43" s="20"/>
    </row>
    <row r="44" spans="1:17" x14ac:dyDescent="0.25">
      <c r="A44" s="55"/>
      <c r="B44" s="56"/>
      <c r="C44" s="57"/>
      <c r="D44" s="57"/>
      <c r="E44" s="58"/>
      <c r="F44" s="59"/>
      <c r="G44" s="63"/>
      <c r="H44" s="62"/>
      <c r="Q44" s="20"/>
    </row>
    <row r="45" spans="1:17" x14ac:dyDescent="0.25">
      <c r="A45" s="55"/>
      <c r="B45" s="56"/>
      <c r="C45" s="57"/>
      <c r="D45" s="57"/>
      <c r="E45" s="58"/>
      <c r="F45" s="59"/>
      <c r="G45" s="63"/>
      <c r="H45" s="62"/>
      <c r="Q45" s="20"/>
    </row>
    <row r="46" spans="1:17" x14ac:dyDescent="0.25">
      <c r="A46" s="55"/>
      <c r="B46" s="56"/>
      <c r="C46" s="57"/>
      <c r="D46" s="57"/>
      <c r="E46" s="58"/>
      <c r="F46" s="59"/>
      <c r="G46" s="63"/>
      <c r="H46" s="62"/>
      <c r="Q46" s="20"/>
    </row>
    <row r="47" spans="1:17" x14ac:dyDescent="0.25">
      <c r="A47" s="55"/>
      <c r="B47" s="56"/>
      <c r="C47" s="57"/>
      <c r="D47" s="57"/>
      <c r="E47" s="58"/>
      <c r="F47" s="59"/>
      <c r="G47" s="63"/>
      <c r="H47" s="62"/>
      <c r="Q47" s="20"/>
    </row>
    <row r="48" spans="1:17" x14ac:dyDescent="0.25">
      <c r="A48" s="55"/>
      <c r="B48" s="56"/>
      <c r="C48" s="57"/>
      <c r="D48" s="57"/>
      <c r="E48" s="58"/>
      <c r="F48" s="59"/>
      <c r="G48" s="63"/>
      <c r="H48" s="62"/>
      <c r="Q48" s="20"/>
    </row>
    <row r="49" spans="1:17" x14ac:dyDescent="0.25">
      <c r="A49" s="55"/>
      <c r="B49" s="56"/>
      <c r="C49" s="57"/>
      <c r="D49" s="57"/>
      <c r="E49" s="58"/>
      <c r="F49" s="59"/>
      <c r="G49" s="63"/>
      <c r="H49" s="62"/>
      <c r="Q49" s="20"/>
    </row>
    <row r="50" spans="1:17" x14ac:dyDescent="0.25">
      <c r="A50" s="55"/>
      <c r="B50" s="56"/>
      <c r="C50" s="57"/>
      <c r="D50" s="57"/>
      <c r="E50" s="58"/>
      <c r="F50" s="59"/>
      <c r="G50" s="63"/>
      <c r="H50" s="62"/>
      <c r="Q50" s="20"/>
    </row>
    <row r="51" spans="1:17" x14ac:dyDescent="0.25">
      <c r="A51" s="55"/>
      <c r="B51" s="56"/>
      <c r="C51" s="57"/>
      <c r="D51" s="57"/>
      <c r="E51" s="58"/>
      <c r="F51" s="59"/>
      <c r="G51" s="63"/>
      <c r="H51" s="62"/>
      <c r="Q51" s="20"/>
    </row>
    <row r="52" spans="1:17" x14ac:dyDescent="0.25">
      <c r="A52" s="55"/>
      <c r="B52" s="56"/>
      <c r="C52" s="57"/>
      <c r="D52" s="57"/>
      <c r="E52" s="58"/>
      <c r="F52" s="59"/>
      <c r="G52" s="63"/>
      <c r="H52" s="62"/>
      <c r="Q52" s="20"/>
    </row>
    <row r="53" spans="1:17" x14ac:dyDescent="0.25">
      <c r="A53" s="55"/>
      <c r="B53" s="56"/>
      <c r="C53" s="57"/>
      <c r="D53" s="57"/>
      <c r="E53" s="58"/>
      <c r="F53" s="59"/>
      <c r="G53" s="63"/>
      <c r="H53" s="62"/>
      <c r="Q53" s="20"/>
    </row>
    <row r="54" spans="1:17" x14ac:dyDescent="0.25">
      <c r="A54" s="55"/>
      <c r="B54" s="56"/>
      <c r="C54" s="57"/>
      <c r="D54" s="57"/>
      <c r="E54" s="58"/>
      <c r="F54" s="59"/>
      <c r="G54" s="63"/>
      <c r="H54" s="62"/>
      <c r="Q54" s="20"/>
    </row>
    <row r="55" spans="1:17" x14ac:dyDescent="0.25">
      <c r="A55" s="55"/>
      <c r="B55" s="56"/>
      <c r="C55" s="57"/>
      <c r="D55" s="57"/>
      <c r="E55" s="58"/>
      <c r="F55" s="59"/>
      <c r="G55" s="63"/>
      <c r="H55" s="62"/>
      <c r="Q55" s="20"/>
    </row>
    <row r="56" spans="1:17" x14ac:dyDescent="0.25">
      <c r="A56" s="55"/>
      <c r="B56" s="56"/>
      <c r="C56" s="57"/>
      <c r="D56" s="57"/>
      <c r="E56" s="58"/>
      <c r="F56" s="59"/>
      <c r="G56" s="63"/>
      <c r="H56" s="62"/>
      <c r="Q56" s="20"/>
    </row>
    <row r="57" spans="1:17" x14ac:dyDescent="0.25">
      <c r="A57" s="55"/>
      <c r="B57" s="56"/>
      <c r="C57" s="57"/>
      <c r="D57" s="57"/>
      <c r="E57" s="58"/>
      <c r="F57" s="59"/>
      <c r="G57" s="63"/>
      <c r="H57" s="62"/>
      <c r="Q57" s="20"/>
    </row>
    <row r="58" spans="1:17" x14ac:dyDescent="0.25">
      <c r="A58" s="55"/>
      <c r="B58" s="56"/>
      <c r="C58" s="57"/>
      <c r="D58" s="57"/>
      <c r="E58" s="58"/>
      <c r="F58" s="59"/>
      <c r="G58" s="63"/>
      <c r="H58" s="62"/>
      <c r="Q58" s="20"/>
    </row>
    <row r="59" spans="1:17" x14ac:dyDescent="0.25">
      <c r="A59" s="55"/>
      <c r="B59" s="56"/>
      <c r="C59" s="57"/>
      <c r="D59" s="57"/>
      <c r="E59" s="58"/>
      <c r="F59" s="59"/>
      <c r="G59" s="63"/>
      <c r="H59" s="62"/>
      <c r="Q59" s="20"/>
    </row>
    <row r="60" spans="1:17" x14ac:dyDescent="0.25">
      <c r="A60" s="55"/>
      <c r="B60" s="56"/>
      <c r="C60" s="57"/>
      <c r="D60" s="57"/>
      <c r="E60" s="58"/>
      <c r="F60" s="59"/>
      <c r="G60" s="63"/>
      <c r="H60" s="62"/>
      <c r="Q60" s="20"/>
    </row>
    <row r="61" spans="1:17" x14ac:dyDescent="0.25">
      <c r="A61" s="55"/>
      <c r="B61" s="56"/>
      <c r="C61" s="57"/>
      <c r="D61" s="57"/>
      <c r="E61" s="58"/>
      <c r="F61" s="59"/>
      <c r="G61" s="63"/>
      <c r="H61" s="62"/>
      <c r="Q61" s="20"/>
    </row>
    <row r="62" spans="1:17" x14ac:dyDescent="0.25">
      <c r="A62" s="55"/>
      <c r="B62" s="56"/>
      <c r="C62" s="57"/>
      <c r="D62" s="57"/>
      <c r="E62" s="58"/>
      <c r="F62" s="59"/>
      <c r="G62" s="63"/>
      <c r="H62" s="62"/>
      <c r="Q62" s="20"/>
    </row>
    <row r="63" spans="1:17" x14ac:dyDescent="0.25">
      <c r="A63" s="55"/>
      <c r="B63" s="56"/>
      <c r="C63" s="57"/>
      <c r="D63" s="57"/>
      <c r="E63" s="58"/>
      <c r="F63" s="59"/>
      <c r="G63" s="63"/>
      <c r="H63" s="62"/>
      <c r="Q63" s="20"/>
    </row>
    <row r="64" spans="1:17" x14ac:dyDescent="0.25">
      <c r="A64" s="55"/>
      <c r="B64" s="56"/>
      <c r="C64" s="57"/>
      <c r="D64" s="57"/>
      <c r="E64" s="58"/>
      <c r="F64" s="59"/>
      <c r="G64" s="63"/>
      <c r="H64" s="62"/>
      <c r="Q64" s="20"/>
    </row>
    <row r="65" spans="1:17" x14ac:dyDescent="0.25">
      <c r="A65" s="55"/>
      <c r="B65" s="56"/>
      <c r="C65" s="57"/>
      <c r="D65" s="57"/>
      <c r="E65" s="58"/>
      <c r="F65" s="59"/>
      <c r="G65" s="63"/>
      <c r="H65" s="62"/>
      <c r="Q65" s="20"/>
    </row>
    <row r="66" spans="1:17" x14ac:dyDescent="0.25">
      <c r="A66" s="55"/>
      <c r="B66" s="56"/>
      <c r="C66" s="57"/>
      <c r="D66" s="57"/>
      <c r="E66" s="58"/>
      <c r="F66" s="59"/>
      <c r="G66" s="63"/>
      <c r="H66" s="62"/>
      <c r="Q66" s="20"/>
    </row>
    <row r="67" spans="1:17" x14ac:dyDescent="0.25">
      <c r="A67" s="55"/>
      <c r="B67" s="56"/>
      <c r="C67" s="57"/>
      <c r="D67" s="57"/>
      <c r="E67" s="58"/>
      <c r="F67" s="59"/>
      <c r="G67" s="63"/>
      <c r="H67" s="62"/>
      <c r="Q67" s="20"/>
    </row>
    <row r="68" spans="1:17" x14ac:dyDescent="0.25">
      <c r="A68" s="55"/>
      <c r="B68" s="56"/>
      <c r="C68" s="57"/>
      <c r="D68" s="57"/>
      <c r="E68" s="58"/>
      <c r="F68" s="59"/>
      <c r="G68" s="63"/>
      <c r="H68" s="62"/>
      <c r="Q68" s="20"/>
    </row>
    <row r="69" spans="1:17" x14ac:dyDescent="0.25">
      <c r="A69" s="55"/>
      <c r="B69" s="56"/>
      <c r="C69" s="57"/>
      <c r="D69" s="57"/>
      <c r="E69" s="58"/>
      <c r="F69" s="59"/>
      <c r="G69" s="63"/>
      <c r="H69" s="62"/>
      <c r="Q69" s="20"/>
    </row>
    <row r="70" spans="1:17" x14ac:dyDescent="0.25">
      <c r="A70" s="55"/>
      <c r="B70" s="56"/>
      <c r="C70" s="57"/>
      <c r="D70" s="57"/>
      <c r="E70" s="58"/>
      <c r="F70" s="59"/>
      <c r="G70" s="63"/>
      <c r="H70" s="62"/>
      <c r="Q70" s="20"/>
    </row>
    <row r="71" spans="1:17" x14ac:dyDescent="0.25">
      <c r="A71" s="55"/>
      <c r="B71" s="56"/>
      <c r="C71" s="57"/>
      <c r="D71" s="57"/>
      <c r="E71" s="58"/>
      <c r="F71" s="59"/>
      <c r="G71" s="63"/>
      <c r="H71" s="62"/>
      <c r="Q71" s="20"/>
    </row>
    <row r="72" spans="1:17" x14ac:dyDescent="0.25">
      <c r="A72" s="55"/>
      <c r="B72" s="56"/>
      <c r="C72" s="57"/>
      <c r="D72" s="57"/>
      <c r="E72" s="58"/>
      <c r="F72" s="59"/>
      <c r="G72" s="63"/>
      <c r="H72" s="62"/>
      <c r="Q72" s="20"/>
    </row>
    <row r="73" spans="1:17" x14ac:dyDescent="0.25">
      <c r="A73" s="55"/>
      <c r="B73" s="56"/>
      <c r="C73" s="57"/>
      <c r="D73" s="57"/>
      <c r="E73" s="58"/>
      <c r="F73" s="59"/>
      <c r="G73" s="63"/>
      <c r="H73" s="62"/>
      <c r="Q73" s="20"/>
    </row>
    <row r="74" spans="1:17" x14ac:dyDescent="0.25">
      <c r="A74" s="55"/>
      <c r="B74" s="56"/>
      <c r="C74" s="57"/>
      <c r="D74" s="57"/>
      <c r="E74" s="58"/>
      <c r="F74" s="59"/>
      <c r="G74" s="63"/>
      <c r="H74" s="62"/>
      <c r="Q74" s="20"/>
    </row>
    <row r="75" spans="1:17" x14ac:dyDescent="0.25">
      <c r="A75" s="55"/>
      <c r="B75" s="56"/>
      <c r="C75" s="57"/>
      <c r="D75" s="57"/>
      <c r="E75" s="58"/>
      <c r="F75" s="59"/>
      <c r="G75" s="63"/>
      <c r="H75" s="62"/>
      <c r="Q75" s="20"/>
    </row>
    <row r="76" spans="1:17" x14ac:dyDescent="0.25">
      <c r="A76" s="55"/>
      <c r="B76" s="56"/>
      <c r="C76" s="57"/>
      <c r="D76" s="57"/>
      <c r="E76" s="58"/>
      <c r="F76" s="59"/>
      <c r="G76" s="63"/>
      <c r="H76" s="62"/>
      <c r="Q76" s="20"/>
    </row>
    <row r="77" spans="1:17" x14ac:dyDescent="0.25">
      <c r="A77" s="55"/>
      <c r="B77" s="56"/>
      <c r="C77" s="57"/>
      <c r="D77" s="57"/>
      <c r="E77" s="58"/>
      <c r="F77" s="59"/>
      <c r="G77" s="63"/>
      <c r="H77" s="62"/>
      <c r="Q77" s="20"/>
    </row>
    <row r="78" spans="1:17" x14ac:dyDescent="0.25">
      <c r="A78" s="55"/>
      <c r="B78" s="56"/>
      <c r="C78" s="57"/>
      <c r="D78" s="57"/>
      <c r="E78" s="58"/>
      <c r="F78" s="59"/>
      <c r="G78" s="63"/>
      <c r="H78" s="62"/>
      <c r="Q78" s="20"/>
    </row>
    <row r="79" spans="1:17" x14ac:dyDescent="0.25">
      <c r="A79" s="55"/>
      <c r="B79" s="56"/>
      <c r="C79" s="57"/>
      <c r="D79" s="57"/>
      <c r="E79" s="58"/>
      <c r="F79" s="59"/>
      <c r="G79" s="63"/>
      <c r="H79" s="62"/>
      <c r="Q79" s="20"/>
    </row>
    <row r="80" spans="1:17" x14ac:dyDescent="0.25">
      <c r="A80" s="55"/>
      <c r="B80" s="56"/>
      <c r="C80" s="57"/>
      <c r="D80" s="57"/>
      <c r="E80" s="58"/>
      <c r="F80" s="59"/>
      <c r="G80" s="63"/>
      <c r="H80" s="62"/>
      <c r="Q80" s="20"/>
    </row>
    <row r="81" spans="1:17" x14ac:dyDescent="0.25">
      <c r="A81" s="55"/>
      <c r="B81" s="56"/>
      <c r="C81" s="57"/>
      <c r="D81" s="57"/>
      <c r="E81" s="58"/>
      <c r="F81" s="59"/>
      <c r="G81" s="63"/>
      <c r="H81" s="62"/>
      <c r="Q81" s="20"/>
    </row>
    <row r="82" spans="1:17" x14ac:dyDescent="0.25">
      <c r="A82" s="55"/>
      <c r="B82" s="56"/>
      <c r="C82" s="57"/>
      <c r="D82" s="57"/>
      <c r="E82" s="58"/>
      <c r="F82" s="59"/>
      <c r="G82" s="63"/>
      <c r="H82" s="62"/>
      <c r="Q82" s="20"/>
    </row>
    <row r="83" spans="1:17" x14ac:dyDescent="0.25">
      <c r="A83" s="55"/>
      <c r="B83" s="56"/>
      <c r="C83" s="57"/>
      <c r="D83" s="57"/>
      <c r="E83" s="58"/>
      <c r="F83" s="59"/>
      <c r="G83" s="63"/>
      <c r="H83" s="62"/>
      <c r="Q83" s="20"/>
    </row>
    <row r="84" spans="1:17" x14ac:dyDescent="0.25">
      <c r="A84" s="55"/>
      <c r="B84" s="56"/>
      <c r="C84" s="57"/>
      <c r="D84" s="57"/>
      <c r="E84" s="58"/>
      <c r="F84" s="59"/>
      <c r="G84" s="63"/>
      <c r="H84" s="62"/>
      <c r="Q84" s="20"/>
    </row>
    <row r="85" spans="1:17" x14ac:dyDescent="0.25">
      <c r="A85" s="55"/>
      <c r="B85" s="56"/>
      <c r="C85" s="57"/>
      <c r="D85" s="57"/>
      <c r="E85" s="58"/>
      <c r="F85" s="59"/>
      <c r="G85" s="63"/>
      <c r="H85" s="62"/>
      <c r="Q85" s="20"/>
    </row>
    <row r="86" spans="1:17" x14ac:dyDescent="0.25">
      <c r="A86" s="55"/>
      <c r="B86" s="56"/>
      <c r="C86" s="57"/>
      <c r="D86" s="57"/>
      <c r="E86" s="58"/>
      <c r="F86" s="59"/>
      <c r="G86" s="63"/>
      <c r="H86" s="62"/>
      <c r="Q86" s="20"/>
    </row>
    <row r="87" spans="1:17" x14ac:dyDescent="0.25">
      <c r="A87" s="55"/>
      <c r="B87" s="56"/>
      <c r="C87" s="57"/>
      <c r="D87" s="57"/>
      <c r="E87" s="58"/>
      <c r="F87" s="59"/>
      <c r="G87" s="63"/>
      <c r="H87" s="62"/>
      <c r="Q87" s="20"/>
    </row>
    <row r="88" spans="1:17" x14ac:dyDescent="0.25">
      <c r="A88" s="55"/>
      <c r="B88" s="56"/>
      <c r="C88" s="57"/>
      <c r="D88" s="57"/>
      <c r="E88" s="58"/>
      <c r="F88" s="59"/>
      <c r="G88" s="63"/>
      <c r="H88" s="62"/>
      <c r="Q88" s="20"/>
    </row>
    <row r="89" spans="1:17" x14ac:dyDescent="0.25">
      <c r="A89" s="55"/>
      <c r="B89" s="56"/>
      <c r="C89" s="57"/>
      <c r="D89" s="57"/>
      <c r="E89" s="58"/>
      <c r="F89" s="59"/>
      <c r="G89" s="63"/>
      <c r="H89" s="62"/>
      <c r="Q89" s="20"/>
    </row>
    <row r="90" spans="1:17" x14ac:dyDescent="0.25">
      <c r="A90" s="55"/>
      <c r="B90" s="56"/>
      <c r="C90" s="57"/>
      <c r="D90" s="57"/>
      <c r="E90" s="58"/>
      <c r="F90" s="59"/>
      <c r="G90" s="63"/>
      <c r="H90" s="62"/>
      <c r="Q90" s="20"/>
    </row>
    <row r="91" spans="1:17" x14ac:dyDescent="0.25">
      <c r="A91" s="55"/>
      <c r="B91" s="56"/>
      <c r="C91" s="57"/>
      <c r="D91" s="57"/>
      <c r="E91" s="58"/>
      <c r="F91" s="59"/>
      <c r="G91" s="63"/>
      <c r="H91" s="62"/>
      <c r="Q91" s="20"/>
    </row>
    <row r="92" spans="1:17" x14ac:dyDescent="0.25">
      <c r="A92" s="55"/>
      <c r="B92" s="56"/>
      <c r="C92" s="57"/>
      <c r="D92" s="57"/>
      <c r="E92" s="58"/>
      <c r="F92" s="59"/>
      <c r="G92" s="63"/>
      <c r="H92" s="62"/>
      <c r="Q92" s="20"/>
    </row>
    <row r="93" spans="1:17" x14ac:dyDescent="0.25">
      <c r="A93" s="55"/>
      <c r="B93" s="56"/>
      <c r="C93" s="57"/>
      <c r="D93" s="57"/>
      <c r="E93" s="58"/>
      <c r="F93" s="59"/>
      <c r="G93" s="63"/>
      <c r="H93" s="62"/>
      <c r="Q93" s="20"/>
    </row>
    <row r="94" spans="1:17" x14ac:dyDescent="0.25">
      <c r="A94" s="55"/>
      <c r="B94" s="56"/>
      <c r="C94" s="57"/>
      <c r="D94" s="57"/>
      <c r="E94" s="58"/>
      <c r="F94" s="59"/>
      <c r="G94" s="63"/>
      <c r="H94" s="62"/>
    </row>
    <row r="95" spans="1:17" x14ac:dyDescent="0.25">
      <c r="A95" s="55"/>
      <c r="B95" s="56"/>
      <c r="C95" s="57"/>
      <c r="D95" s="57"/>
      <c r="E95" s="58"/>
      <c r="F95" s="59"/>
      <c r="G95" s="63"/>
      <c r="H95" s="62"/>
    </row>
    <row r="96" spans="1:17" x14ac:dyDescent="0.25">
      <c r="A96" s="55"/>
      <c r="B96" s="56"/>
      <c r="C96" s="57"/>
      <c r="D96" s="57"/>
      <c r="E96" s="58"/>
      <c r="F96" s="59"/>
      <c r="G96" s="63"/>
      <c r="H96" s="62"/>
    </row>
    <row r="97" spans="1:8" x14ac:dyDescent="0.25">
      <c r="A97" s="55"/>
      <c r="B97" s="56"/>
      <c r="C97" s="57"/>
      <c r="D97" s="57"/>
      <c r="E97" s="58"/>
      <c r="F97" s="59"/>
      <c r="G97" s="63"/>
      <c r="H97" s="62"/>
    </row>
    <row r="98" spans="1:8" x14ac:dyDescent="0.25">
      <c r="A98" s="55"/>
      <c r="B98" s="56"/>
      <c r="C98" s="57"/>
      <c r="D98" s="57"/>
      <c r="E98" s="58"/>
      <c r="F98" s="59"/>
      <c r="G98" s="63"/>
      <c r="H98" s="62"/>
    </row>
    <row r="99" spans="1:8" x14ac:dyDescent="0.25">
      <c r="A99" s="55"/>
      <c r="B99" s="56"/>
      <c r="C99" s="57"/>
      <c r="D99" s="57"/>
      <c r="E99" s="58"/>
      <c r="F99" s="59"/>
      <c r="G99" s="63"/>
      <c r="H99" s="62"/>
    </row>
    <row r="100" spans="1:8" x14ac:dyDescent="0.25">
      <c r="A100" s="55"/>
      <c r="B100" s="56"/>
      <c r="C100" s="57"/>
      <c r="D100" s="57"/>
      <c r="E100" s="58"/>
      <c r="F100" s="59"/>
      <c r="G100" s="63"/>
      <c r="H100" s="62"/>
    </row>
  </sheetData>
  <sheetProtection formatCells="0" formatColumns="0" autoFilter="0"/>
  <mergeCells count="1">
    <mergeCell ref="S1:W1"/>
  </mergeCells>
  <phoneticPr fontId="7" type="noConversion"/>
  <dataValidations count="2">
    <dataValidation type="list" allowBlank="1" showInputMessage="1" showErrorMessage="1" sqref="M2:M10" xr:uid="{9CBD3884-B846-4D60-83F6-763A3FB6A367}">
      <formula1>"MACHO, FÊMEA"</formula1>
    </dataValidation>
    <dataValidation type="list" allowBlank="1" showInputMessage="1" showErrorMessage="1" sqref="N2:N10" xr:uid="{B503EBBA-4D4A-4596-8B13-43A854D5B2A3}">
      <formula1>"0-12M,13-24M,25-36M,&gt;=36M"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A87B-E45F-4CEA-958B-02B769033DCA}">
  <sheetPr codeName="Sheet3"/>
  <dimension ref="A1:ZZ204"/>
  <sheetViews>
    <sheetView view="pageLayout" zoomScaleNormal="100" workbookViewId="0">
      <selection activeCell="E9" sqref="E9"/>
    </sheetView>
  </sheetViews>
  <sheetFormatPr defaultRowHeight="15" x14ac:dyDescent="0.25"/>
  <cols>
    <col min="1" max="1" width="14.28515625" style="28" bestFit="1" customWidth="1"/>
    <col min="2" max="2" width="28.28515625" customWidth="1"/>
    <col min="3" max="3" width="15" bestFit="1" customWidth="1"/>
    <col min="4" max="4" width="13.28515625" bestFit="1" customWidth="1"/>
    <col min="5" max="5" width="14.28515625" bestFit="1" customWidth="1"/>
    <col min="6" max="6" width="13.28515625" bestFit="1" customWidth="1"/>
  </cols>
  <sheetData>
    <row r="1" spans="1:702" x14ac:dyDescent="0.25">
      <c r="A1" s="34">
        <v>5</v>
      </c>
      <c r="B1" s="1" t="s">
        <v>10</v>
      </c>
      <c r="C1">
        <v>5</v>
      </c>
    </row>
    <row r="2" spans="1:702" x14ac:dyDescent="0.25">
      <c r="B2" s="1" t="s">
        <v>11</v>
      </c>
      <c r="C2">
        <v>2</v>
      </c>
    </row>
    <row r="3" spans="1:702" x14ac:dyDescent="0.25">
      <c r="B3" s="1" t="s">
        <v>14</v>
      </c>
    </row>
    <row r="4" spans="1:702" x14ac:dyDescent="0.25">
      <c r="B4" s="1"/>
    </row>
    <row r="5" spans="1:702" x14ac:dyDescent="0.25">
      <c r="A5" s="34"/>
      <c r="B5" s="35"/>
      <c r="C5" s="35"/>
      <c r="D5" s="35"/>
      <c r="E5" s="35"/>
      <c r="F5" s="35"/>
    </row>
    <row r="6" spans="1:702" x14ac:dyDescent="0.25">
      <c r="A6" s="81" t="s">
        <v>23</v>
      </c>
      <c r="B6" s="82"/>
      <c r="C6" s="34" t="s">
        <v>12</v>
      </c>
      <c r="D6" s="34" t="s">
        <v>13</v>
      </c>
      <c r="E6" s="34"/>
      <c r="F6" s="34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s="20" customFormat="1" x14ac:dyDescent="0.25">
      <c r="A7" s="83"/>
      <c r="B7" s="84"/>
      <c r="C7" s="37"/>
      <c r="D7" s="37"/>
      <c r="E7" s="37"/>
      <c r="F7" s="37"/>
    </row>
    <row r="8" spans="1:702" s="27" customFormat="1" x14ac:dyDescent="0.25">
      <c r="A8" s="33" t="s">
        <v>15</v>
      </c>
      <c r="B8" s="35"/>
      <c r="C8" s="36"/>
      <c r="D8" s="36"/>
      <c r="E8" s="36"/>
      <c r="F8" s="36"/>
    </row>
    <row r="9" spans="1:702" s="27" customFormat="1" x14ac:dyDescent="0.25">
      <c r="A9" s="33" t="s">
        <v>16</v>
      </c>
      <c r="B9" s="35"/>
      <c r="C9" s="36"/>
      <c r="D9" s="36"/>
      <c r="E9" s="36"/>
      <c r="F9" s="36"/>
    </row>
    <row r="10" spans="1:702" s="27" customFormat="1" x14ac:dyDescent="0.25">
      <c r="A10" s="33" t="s">
        <v>17</v>
      </c>
      <c r="B10" s="35"/>
      <c r="C10" s="36"/>
      <c r="D10" s="36"/>
      <c r="E10" s="36"/>
      <c r="F10" s="36"/>
    </row>
    <row r="11" spans="1:702" s="27" customFormat="1" x14ac:dyDescent="0.25">
      <c r="A11" s="33" t="s">
        <v>18</v>
      </c>
      <c r="B11" s="35"/>
      <c r="C11" s="36"/>
      <c r="D11" s="36"/>
      <c r="E11" s="36"/>
      <c r="F11" s="36"/>
    </row>
    <row r="12" spans="1:702" s="27" customFormat="1" x14ac:dyDescent="0.25">
      <c r="A12" s="33" t="s">
        <v>19</v>
      </c>
      <c r="B12" s="31"/>
      <c r="C12" s="32"/>
      <c r="D12" s="32"/>
      <c r="E12" s="32"/>
      <c r="F12" s="32"/>
    </row>
    <row r="13" spans="1:702" x14ac:dyDescent="0.25">
      <c r="A13" s="33"/>
      <c r="B13" s="35"/>
      <c r="C13" s="36"/>
      <c r="D13" s="36"/>
      <c r="E13" s="36"/>
      <c r="F13" s="36"/>
    </row>
    <row r="14" spans="1:702" x14ac:dyDescent="0.25">
      <c r="A14" s="33"/>
      <c r="B14" s="35"/>
      <c r="C14" s="36"/>
      <c r="D14" s="36"/>
      <c r="E14" s="36"/>
      <c r="F14" s="36"/>
    </row>
    <row r="15" spans="1:702" x14ac:dyDescent="0.25">
      <c r="A15" s="33"/>
      <c r="B15" s="31"/>
      <c r="C15" s="32"/>
      <c r="D15" s="32"/>
      <c r="E15" s="32"/>
      <c r="F15" s="32"/>
    </row>
    <row r="16" spans="1:702" x14ac:dyDescent="0.25">
      <c r="A16" s="29"/>
      <c r="B16" s="29" t="s">
        <v>20</v>
      </c>
      <c r="C16" s="85" t="s">
        <v>21</v>
      </c>
      <c r="D16" s="85"/>
      <c r="E16" s="30" t="s">
        <v>9</v>
      </c>
      <c r="F16" s="30" t="s">
        <v>22</v>
      </c>
    </row>
    <row r="17" spans="1:7" x14ac:dyDescent="0.25">
      <c r="A17" s="33" t="s">
        <v>15</v>
      </c>
      <c r="B17" s="31"/>
      <c r="C17" s="32"/>
      <c r="D17" s="32"/>
      <c r="E17" s="32"/>
      <c r="F17" s="32"/>
    </row>
    <row r="18" spans="1:7" x14ac:dyDescent="0.25">
      <c r="A18" s="33" t="s">
        <v>16</v>
      </c>
      <c r="B18" s="31"/>
      <c r="C18" s="31"/>
      <c r="D18" s="31"/>
      <c r="E18" s="31"/>
      <c r="F18" s="31"/>
      <c r="G18" s="35"/>
    </row>
    <row r="19" spans="1:7" x14ac:dyDescent="0.25">
      <c r="A19" s="33" t="s">
        <v>17</v>
      </c>
      <c r="B19" s="31"/>
      <c r="C19" s="32"/>
      <c r="D19" s="32"/>
      <c r="E19" s="32"/>
      <c r="F19" s="32"/>
      <c r="G19" s="35"/>
    </row>
    <row r="20" spans="1:7" x14ac:dyDescent="0.25">
      <c r="A20" s="33" t="s">
        <v>18</v>
      </c>
      <c r="B20" s="31"/>
      <c r="C20" s="31"/>
      <c r="D20" s="31"/>
      <c r="E20" s="31"/>
      <c r="F20" s="31"/>
      <c r="G20" s="35"/>
    </row>
    <row r="21" spans="1:7" x14ac:dyDescent="0.25">
      <c r="A21" s="33" t="s">
        <v>19</v>
      </c>
      <c r="B21" s="31"/>
      <c r="C21" s="32"/>
      <c r="D21" s="32"/>
      <c r="E21" s="32"/>
      <c r="F21" s="32"/>
      <c r="G21" s="35"/>
    </row>
    <row r="22" spans="1:7" x14ac:dyDescent="0.25">
      <c r="A22" s="33"/>
      <c r="B22" s="31"/>
      <c r="C22" s="31"/>
      <c r="D22" s="31"/>
      <c r="E22" s="31"/>
      <c r="F22" s="31"/>
    </row>
    <row r="23" spans="1:7" x14ac:dyDescent="0.25">
      <c r="A23" s="33"/>
      <c r="B23" s="35"/>
      <c r="C23" s="36"/>
      <c r="D23" s="36"/>
      <c r="E23" s="36"/>
      <c r="F23" s="36"/>
    </row>
    <row r="24" spans="1:7" x14ac:dyDescent="0.25">
      <c r="A24" s="33"/>
      <c r="B24" s="31"/>
      <c r="C24" s="31"/>
      <c r="D24" s="31"/>
      <c r="E24" s="31"/>
      <c r="F24" s="31"/>
    </row>
    <row r="25" spans="1:7" x14ac:dyDescent="0.25">
      <c r="A25" s="33"/>
      <c r="B25" s="31"/>
      <c r="C25" s="32"/>
      <c r="D25" s="32"/>
      <c r="E25" s="32"/>
      <c r="F25" s="32"/>
    </row>
    <row r="26" spans="1:7" x14ac:dyDescent="0.25">
      <c r="A26" s="33"/>
      <c r="B26" s="31"/>
      <c r="C26" s="31"/>
      <c r="D26" s="31"/>
      <c r="E26" s="31"/>
      <c r="F26" s="31"/>
    </row>
    <row r="27" spans="1:7" x14ac:dyDescent="0.25">
      <c r="A27" s="33"/>
      <c r="B27" s="31"/>
      <c r="C27" s="32"/>
      <c r="D27" s="32"/>
      <c r="E27" s="32"/>
      <c r="F27" s="32"/>
    </row>
    <row r="28" spans="1:7" x14ac:dyDescent="0.25">
      <c r="A28" s="33"/>
      <c r="B28" s="35"/>
      <c r="C28" s="36"/>
      <c r="D28" s="36"/>
      <c r="E28" s="36"/>
      <c r="F28" s="36"/>
    </row>
    <row r="29" spans="1:7" x14ac:dyDescent="0.25">
      <c r="A29" s="33"/>
      <c r="B29" s="35"/>
      <c r="C29" s="36"/>
      <c r="D29" s="36"/>
      <c r="E29" s="36"/>
      <c r="F29" s="36"/>
    </row>
    <row r="30" spans="1:7" x14ac:dyDescent="0.25">
      <c r="A30" s="33"/>
      <c r="B30" s="35"/>
      <c r="C30" s="36"/>
      <c r="D30" s="36"/>
      <c r="E30" s="36"/>
      <c r="F30" s="36"/>
    </row>
    <row r="31" spans="1:7" x14ac:dyDescent="0.25">
      <c r="A31" s="33"/>
      <c r="B31" s="35"/>
      <c r="C31" s="36"/>
      <c r="D31" s="36"/>
      <c r="E31" s="36"/>
      <c r="F31" s="36"/>
    </row>
    <row r="32" spans="1:7" x14ac:dyDescent="0.25">
      <c r="A32" s="33"/>
      <c r="B32" s="35"/>
      <c r="C32" s="36"/>
      <c r="D32" s="36"/>
      <c r="E32" s="36"/>
      <c r="F32" s="36"/>
    </row>
    <row r="33" spans="1:6" x14ac:dyDescent="0.25">
      <c r="A33" s="33"/>
      <c r="B33" s="35"/>
      <c r="C33" s="36"/>
      <c r="D33" s="36"/>
      <c r="E33" s="36"/>
      <c r="F33" s="36"/>
    </row>
    <row r="34" spans="1:6" x14ac:dyDescent="0.25">
      <c r="A34" s="33"/>
      <c r="B34" s="35"/>
      <c r="C34" s="36"/>
      <c r="D34" s="36"/>
      <c r="E34" s="36"/>
      <c r="F34" s="36"/>
    </row>
    <row r="35" spans="1:6" x14ac:dyDescent="0.25">
      <c r="A35" s="33"/>
      <c r="B35" s="35"/>
      <c r="C35" s="36"/>
      <c r="D35" s="36"/>
      <c r="E35" s="36"/>
      <c r="F35" s="36"/>
    </row>
    <row r="36" spans="1:6" x14ac:dyDescent="0.25">
      <c r="A36" s="33"/>
      <c r="B36" s="35"/>
      <c r="C36" s="36"/>
      <c r="D36" s="36"/>
      <c r="E36" s="36"/>
      <c r="F36" s="36"/>
    </row>
    <row r="37" spans="1:6" x14ac:dyDescent="0.25">
      <c r="A37" s="33"/>
      <c r="B37" s="35"/>
      <c r="C37" s="36"/>
      <c r="D37" s="36"/>
      <c r="E37" s="36"/>
      <c r="F37" s="36"/>
    </row>
    <row r="38" spans="1:6" x14ac:dyDescent="0.25">
      <c r="A38" s="33"/>
      <c r="B38" s="35"/>
      <c r="C38" s="36"/>
      <c r="D38" s="36"/>
      <c r="E38" s="36"/>
      <c r="F38" s="36"/>
    </row>
    <row r="39" spans="1:6" x14ac:dyDescent="0.25">
      <c r="A39" s="33"/>
      <c r="B39" s="35"/>
      <c r="C39" s="36"/>
      <c r="D39" s="36"/>
      <c r="E39" s="36"/>
      <c r="F39" s="36"/>
    </row>
    <row r="40" spans="1:6" x14ac:dyDescent="0.25">
      <c r="A40" s="33"/>
      <c r="B40" s="35"/>
      <c r="C40" s="36"/>
      <c r="D40" s="36"/>
      <c r="E40" s="36"/>
      <c r="F40" s="36"/>
    </row>
    <row r="41" spans="1:6" x14ac:dyDescent="0.25">
      <c r="A41" s="33"/>
      <c r="B41" s="35"/>
      <c r="C41" s="36"/>
      <c r="D41" s="36"/>
      <c r="E41" s="36"/>
      <c r="F41" s="36"/>
    </row>
    <row r="42" spans="1:6" x14ac:dyDescent="0.25">
      <c r="A42" s="33"/>
      <c r="B42" s="35"/>
      <c r="C42" s="36"/>
      <c r="D42" s="36"/>
      <c r="E42" s="36"/>
      <c r="F42" s="36"/>
    </row>
    <row r="43" spans="1:6" x14ac:dyDescent="0.25">
      <c r="A43" s="33"/>
      <c r="B43" s="35"/>
      <c r="C43" s="36"/>
      <c r="D43" s="36"/>
      <c r="E43" s="36"/>
      <c r="F43" s="36"/>
    </row>
    <row r="44" spans="1:6" x14ac:dyDescent="0.25">
      <c r="A44" s="33"/>
      <c r="B44" s="35"/>
      <c r="C44" s="36"/>
      <c r="D44" s="36"/>
      <c r="E44" s="36"/>
      <c r="F44" s="36"/>
    </row>
    <row r="45" spans="1:6" x14ac:dyDescent="0.25">
      <c r="A45" s="33"/>
      <c r="B45" s="35"/>
      <c r="C45" s="36"/>
      <c r="D45" s="36"/>
      <c r="E45" s="36"/>
      <c r="F45" s="36"/>
    </row>
    <row r="46" spans="1:6" x14ac:dyDescent="0.25">
      <c r="A46" s="33"/>
      <c r="B46" s="35"/>
      <c r="C46" s="36"/>
      <c r="D46" s="36"/>
      <c r="E46" s="36"/>
      <c r="F46" s="36"/>
    </row>
    <row r="47" spans="1:6" x14ac:dyDescent="0.25">
      <c r="A47" s="33"/>
      <c r="B47" s="35"/>
      <c r="C47" s="36"/>
      <c r="D47" s="36"/>
      <c r="E47" s="36"/>
      <c r="F47" s="36"/>
    </row>
    <row r="48" spans="1:6" x14ac:dyDescent="0.25">
      <c r="A48" s="33"/>
      <c r="B48" s="35"/>
      <c r="C48" s="36"/>
      <c r="D48" s="36"/>
      <c r="E48" s="36"/>
      <c r="F48" s="36"/>
    </row>
    <row r="49" spans="1:6" x14ac:dyDescent="0.25">
      <c r="A49" s="33"/>
      <c r="B49" s="35"/>
      <c r="C49" s="36"/>
      <c r="D49" s="36"/>
      <c r="E49" s="36"/>
      <c r="F49" s="36"/>
    </row>
    <row r="50" spans="1:6" x14ac:dyDescent="0.25">
      <c r="A50" s="33"/>
      <c r="B50" s="35"/>
      <c r="C50" s="36"/>
      <c r="D50" s="36"/>
      <c r="E50" s="36"/>
      <c r="F50" s="36"/>
    </row>
    <row r="51" spans="1:6" x14ac:dyDescent="0.25">
      <c r="A51" s="33"/>
      <c r="B51" s="35"/>
      <c r="C51" s="36"/>
      <c r="D51" s="36"/>
      <c r="E51" s="36"/>
      <c r="F51" s="36"/>
    </row>
    <row r="52" spans="1:6" x14ac:dyDescent="0.25">
      <c r="A52" s="33"/>
      <c r="B52" s="35"/>
      <c r="C52" s="36"/>
      <c r="D52" s="36"/>
      <c r="E52" s="36"/>
      <c r="F52" s="36"/>
    </row>
    <row r="53" spans="1:6" x14ac:dyDescent="0.25">
      <c r="A53" s="33"/>
      <c r="B53" s="35"/>
      <c r="C53" s="36"/>
      <c r="D53" s="36"/>
      <c r="E53" s="36"/>
      <c r="F53" s="36"/>
    </row>
    <row r="54" spans="1:6" x14ac:dyDescent="0.25">
      <c r="A54" s="33"/>
      <c r="B54" s="35"/>
      <c r="C54" s="36"/>
      <c r="D54" s="36"/>
      <c r="E54" s="36"/>
      <c r="F54" s="36"/>
    </row>
    <row r="55" spans="1:6" x14ac:dyDescent="0.25">
      <c r="A55" s="33"/>
      <c r="B55" s="35"/>
      <c r="C55" s="36"/>
      <c r="D55" s="36"/>
      <c r="E55" s="36"/>
      <c r="F55" s="36"/>
    </row>
    <row r="56" spans="1:6" x14ac:dyDescent="0.25">
      <c r="A56" s="33"/>
      <c r="B56" s="35"/>
      <c r="C56" s="36"/>
      <c r="D56" s="36"/>
      <c r="E56" s="36"/>
      <c r="F56" s="36"/>
    </row>
    <row r="57" spans="1:6" x14ac:dyDescent="0.25">
      <c r="A57" s="33"/>
      <c r="B57" s="35"/>
      <c r="C57" s="36"/>
      <c r="D57" s="36"/>
      <c r="E57" s="36"/>
      <c r="F57" s="36"/>
    </row>
    <row r="58" spans="1:6" x14ac:dyDescent="0.25">
      <c r="A58" s="33"/>
      <c r="B58" s="35"/>
      <c r="C58" s="36"/>
      <c r="D58" s="36"/>
      <c r="E58" s="36"/>
      <c r="F58" s="36"/>
    </row>
    <row r="59" spans="1:6" x14ac:dyDescent="0.25">
      <c r="A59" s="33"/>
      <c r="B59" s="35"/>
      <c r="C59" s="36"/>
      <c r="D59" s="36"/>
      <c r="E59" s="36"/>
      <c r="F59" s="36"/>
    </row>
    <row r="60" spans="1:6" x14ac:dyDescent="0.25">
      <c r="A60" s="33"/>
      <c r="B60" s="35"/>
      <c r="C60" s="36"/>
      <c r="D60" s="36"/>
      <c r="E60" s="36"/>
      <c r="F60" s="36"/>
    </row>
    <row r="61" spans="1:6" x14ac:dyDescent="0.25">
      <c r="A61" s="33"/>
      <c r="B61" s="35"/>
      <c r="C61" s="36"/>
      <c r="D61" s="36"/>
      <c r="E61" s="36"/>
      <c r="F61" s="36"/>
    </row>
    <row r="62" spans="1:6" x14ac:dyDescent="0.25">
      <c r="A62" s="33"/>
      <c r="B62" s="35"/>
      <c r="C62" s="36"/>
      <c r="D62" s="36"/>
      <c r="E62" s="36"/>
      <c r="F62" s="36"/>
    </row>
    <row r="63" spans="1:6" x14ac:dyDescent="0.25">
      <c r="A63" s="33"/>
      <c r="B63" s="35"/>
      <c r="C63" s="36"/>
      <c r="D63" s="36"/>
      <c r="E63" s="36"/>
      <c r="F63" s="36"/>
    </row>
    <row r="64" spans="1:6" x14ac:dyDescent="0.25">
      <c r="A64" s="33"/>
      <c r="B64" s="35"/>
      <c r="C64" s="36"/>
      <c r="D64" s="36"/>
      <c r="E64" s="36"/>
      <c r="F64" s="36"/>
    </row>
    <row r="65" spans="1:6" x14ac:dyDescent="0.25">
      <c r="A65" s="33"/>
      <c r="B65" s="35"/>
      <c r="C65" s="36"/>
      <c r="D65" s="36"/>
      <c r="E65" s="36"/>
      <c r="F65" s="36"/>
    </row>
    <row r="66" spans="1:6" x14ac:dyDescent="0.25">
      <c r="A66" s="33"/>
      <c r="B66" s="35"/>
      <c r="C66" s="36"/>
      <c r="D66" s="36"/>
      <c r="E66" s="36"/>
      <c r="F66" s="36"/>
    </row>
    <row r="67" spans="1:6" x14ac:dyDescent="0.25">
      <c r="A67" s="33"/>
      <c r="B67" s="35"/>
      <c r="C67" s="36"/>
      <c r="D67" s="36"/>
      <c r="E67" s="36"/>
      <c r="F67" s="36"/>
    </row>
    <row r="68" spans="1:6" x14ac:dyDescent="0.25">
      <c r="A68" s="33"/>
      <c r="B68" s="35"/>
      <c r="C68" s="36"/>
      <c r="D68" s="36"/>
      <c r="E68" s="36"/>
      <c r="F68" s="36"/>
    </row>
    <row r="69" spans="1:6" x14ac:dyDescent="0.25">
      <c r="A69" s="33"/>
      <c r="B69" s="35"/>
      <c r="C69" s="36"/>
      <c r="D69" s="36"/>
      <c r="E69" s="36"/>
      <c r="F69" s="36"/>
    </row>
    <row r="70" spans="1:6" x14ac:dyDescent="0.25">
      <c r="A70" s="33"/>
      <c r="B70" s="35"/>
      <c r="C70" s="36"/>
      <c r="D70" s="36"/>
      <c r="E70" s="36"/>
      <c r="F70" s="36"/>
    </row>
    <row r="71" spans="1:6" x14ac:dyDescent="0.25">
      <c r="A71" s="33"/>
      <c r="B71" s="35"/>
      <c r="C71" s="36"/>
      <c r="D71" s="36"/>
      <c r="E71" s="36"/>
      <c r="F71" s="36"/>
    </row>
    <row r="72" spans="1:6" x14ac:dyDescent="0.25">
      <c r="A72" s="33"/>
      <c r="B72" s="35"/>
      <c r="C72" s="36"/>
      <c r="D72" s="36"/>
      <c r="E72" s="36"/>
      <c r="F72" s="36"/>
    </row>
    <row r="73" spans="1:6" x14ac:dyDescent="0.25">
      <c r="A73" s="33"/>
      <c r="B73" s="35"/>
      <c r="C73" s="36"/>
      <c r="D73" s="36"/>
      <c r="E73" s="36"/>
      <c r="F73" s="36"/>
    </row>
    <row r="74" spans="1:6" x14ac:dyDescent="0.25">
      <c r="A74" s="33"/>
      <c r="B74" s="35"/>
      <c r="C74" s="36"/>
      <c r="D74" s="36"/>
      <c r="E74" s="36"/>
      <c r="F74" s="36"/>
    </row>
    <row r="75" spans="1:6" x14ac:dyDescent="0.25">
      <c r="A75" s="33"/>
      <c r="B75" s="35"/>
      <c r="C75" s="36"/>
      <c r="D75" s="36"/>
      <c r="E75" s="36"/>
      <c r="F75" s="36"/>
    </row>
    <row r="76" spans="1:6" x14ac:dyDescent="0.25">
      <c r="A76" s="33"/>
      <c r="B76" s="35"/>
      <c r="C76" s="36"/>
      <c r="D76" s="36"/>
      <c r="E76" s="36"/>
      <c r="F76" s="36"/>
    </row>
    <row r="77" spans="1:6" x14ac:dyDescent="0.25">
      <c r="A77" s="33"/>
      <c r="B77" s="35"/>
      <c r="C77" s="36"/>
      <c r="D77" s="36"/>
      <c r="E77" s="36"/>
      <c r="F77" s="36"/>
    </row>
    <row r="78" spans="1:6" x14ac:dyDescent="0.25">
      <c r="A78" s="33"/>
      <c r="B78" s="35"/>
      <c r="C78" s="36"/>
      <c r="D78" s="36"/>
      <c r="E78" s="36"/>
      <c r="F78" s="36"/>
    </row>
    <row r="79" spans="1:6" x14ac:dyDescent="0.25">
      <c r="A79" s="33"/>
      <c r="B79" s="35"/>
      <c r="C79" s="36"/>
      <c r="D79" s="36"/>
      <c r="E79" s="36"/>
      <c r="F79" s="36"/>
    </row>
    <row r="80" spans="1:6" x14ac:dyDescent="0.25">
      <c r="A80" s="33"/>
      <c r="B80" s="35"/>
      <c r="C80" s="36"/>
      <c r="D80" s="36"/>
      <c r="E80" s="36"/>
      <c r="F80" s="36"/>
    </row>
    <row r="81" spans="1:6" x14ac:dyDescent="0.25">
      <c r="A81" s="33"/>
      <c r="B81" s="35"/>
      <c r="C81" s="36"/>
      <c r="D81" s="36"/>
      <c r="E81" s="36"/>
      <c r="F81" s="36"/>
    </row>
    <row r="82" spans="1:6" x14ac:dyDescent="0.25">
      <c r="A82" s="33"/>
      <c r="B82" s="35"/>
      <c r="C82" s="36"/>
      <c r="D82" s="36"/>
      <c r="E82" s="36"/>
      <c r="F82" s="36"/>
    </row>
    <row r="83" spans="1:6" x14ac:dyDescent="0.25">
      <c r="A83" s="33"/>
      <c r="B83" s="35"/>
      <c r="C83" s="36"/>
      <c r="D83" s="36"/>
      <c r="E83" s="36"/>
      <c r="F83" s="36"/>
    </row>
    <row r="84" spans="1:6" x14ac:dyDescent="0.25">
      <c r="A84" s="33"/>
      <c r="B84" s="35"/>
      <c r="C84" s="36"/>
      <c r="D84" s="36"/>
      <c r="E84" s="36"/>
      <c r="F84" s="36"/>
    </row>
    <row r="85" spans="1:6" x14ac:dyDescent="0.25">
      <c r="A85" s="33"/>
      <c r="B85" s="35"/>
      <c r="C85" s="36"/>
      <c r="D85" s="36"/>
      <c r="E85" s="36"/>
      <c r="F85" s="36"/>
    </row>
    <row r="86" spans="1:6" x14ac:dyDescent="0.25">
      <c r="A86" s="33"/>
      <c r="B86" s="35"/>
      <c r="C86" s="36"/>
      <c r="D86" s="36"/>
      <c r="E86" s="36"/>
      <c r="F86" s="36"/>
    </row>
    <row r="87" spans="1:6" x14ac:dyDescent="0.25">
      <c r="A87" s="33"/>
      <c r="B87" s="35"/>
      <c r="C87" s="36"/>
      <c r="D87" s="36"/>
      <c r="E87" s="36"/>
      <c r="F87" s="36"/>
    </row>
    <row r="88" spans="1:6" x14ac:dyDescent="0.25">
      <c r="A88" s="33"/>
      <c r="B88" s="35"/>
      <c r="C88" s="36"/>
      <c r="D88" s="36"/>
      <c r="E88" s="36"/>
      <c r="F88" s="36"/>
    </row>
    <row r="89" spans="1:6" x14ac:dyDescent="0.25">
      <c r="A89" s="33"/>
      <c r="B89" s="35"/>
      <c r="C89" s="36"/>
      <c r="D89" s="36"/>
      <c r="E89" s="36"/>
      <c r="F89" s="36"/>
    </row>
    <row r="90" spans="1:6" x14ac:dyDescent="0.25">
      <c r="A90" s="33"/>
      <c r="B90" s="35"/>
      <c r="C90" s="36"/>
      <c r="D90" s="36"/>
      <c r="E90" s="36"/>
      <c r="F90" s="36"/>
    </row>
    <row r="91" spans="1:6" x14ac:dyDescent="0.25">
      <c r="A91" s="33"/>
      <c r="B91" s="35"/>
      <c r="C91" s="36"/>
      <c r="D91" s="36"/>
      <c r="E91" s="36"/>
      <c r="F91" s="36"/>
    </row>
    <row r="92" spans="1:6" x14ac:dyDescent="0.25">
      <c r="A92" s="33"/>
      <c r="B92" s="35"/>
      <c r="C92" s="36"/>
      <c r="D92" s="36"/>
      <c r="E92" s="36"/>
      <c r="F92" s="36"/>
    </row>
    <row r="93" spans="1:6" x14ac:dyDescent="0.25">
      <c r="A93" s="33"/>
      <c r="B93" s="35"/>
      <c r="C93" s="36"/>
      <c r="D93" s="36"/>
      <c r="E93" s="36"/>
      <c r="F93" s="36"/>
    </row>
    <row r="94" spans="1:6" x14ac:dyDescent="0.25">
      <c r="A94" s="33"/>
      <c r="B94" s="35"/>
      <c r="C94" s="36"/>
      <c r="D94" s="36"/>
      <c r="E94" s="36"/>
      <c r="F94" s="36"/>
    </row>
    <row r="95" spans="1:6" x14ac:dyDescent="0.25">
      <c r="A95" s="33"/>
      <c r="B95" s="35"/>
      <c r="C95" s="36"/>
      <c r="D95" s="36"/>
      <c r="E95" s="36"/>
      <c r="F95" s="36"/>
    </row>
    <row r="96" spans="1:6" x14ac:dyDescent="0.25">
      <c r="A96" s="33"/>
      <c r="B96" s="35"/>
      <c r="C96" s="36"/>
      <c r="D96" s="36"/>
      <c r="E96" s="36"/>
      <c r="F96" s="36"/>
    </row>
    <row r="97" spans="1:6" x14ac:dyDescent="0.25">
      <c r="A97" s="33"/>
      <c r="B97" s="35"/>
      <c r="C97" s="36"/>
      <c r="D97" s="36"/>
      <c r="E97" s="36"/>
      <c r="F97" s="36"/>
    </row>
    <row r="98" spans="1:6" x14ac:dyDescent="0.25">
      <c r="A98" s="33"/>
      <c r="B98" s="35"/>
      <c r="C98" s="36"/>
      <c r="D98" s="36"/>
      <c r="E98" s="36"/>
      <c r="F98" s="36"/>
    </row>
    <row r="99" spans="1:6" x14ac:dyDescent="0.25">
      <c r="A99" s="33"/>
      <c r="B99" s="35"/>
      <c r="C99" s="36"/>
      <c r="D99" s="36"/>
      <c r="E99" s="36"/>
      <c r="F99" s="36"/>
    </row>
    <row r="100" spans="1:6" x14ac:dyDescent="0.25">
      <c r="A100" s="33"/>
      <c r="B100" s="35"/>
      <c r="C100" s="36"/>
      <c r="D100" s="36"/>
      <c r="E100" s="36"/>
      <c r="F100" s="36"/>
    </row>
    <row r="101" spans="1:6" x14ac:dyDescent="0.25">
      <c r="C101" s="27"/>
      <c r="D101" s="27"/>
      <c r="E101" s="27"/>
      <c r="F101" s="27"/>
    </row>
    <row r="102" spans="1:6" x14ac:dyDescent="0.25">
      <c r="C102" s="27"/>
      <c r="D102" s="27"/>
      <c r="E102" s="27"/>
      <c r="F102" s="27"/>
    </row>
    <row r="103" spans="1:6" x14ac:dyDescent="0.25">
      <c r="C103" s="27"/>
      <c r="D103" s="27"/>
      <c r="E103" s="27"/>
      <c r="F103" s="27"/>
    </row>
    <row r="104" spans="1:6" x14ac:dyDescent="0.25">
      <c r="C104" s="27"/>
      <c r="D104" s="27"/>
      <c r="E104" s="27"/>
      <c r="F104" s="27"/>
    </row>
    <row r="105" spans="1:6" x14ac:dyDescent="0.25">
      <c r="C105" s="27"/>
      <c r="D105" s="27"/>
      <c r="E105" s="27"/>
      <c r="F105" s="27"/>
    </row>
    <row r="106" spans="1:6" x14ac:dyDescent="0.25">
      <c r="C106" s="27"/>
      <c r="D106" s="27"/>
      <c r="E106" s="27"/>
      <c r="F106" s="27"/>
    </row>
    <row r="107" spans="1:6" x14ac:dyDescent="0.25">
      <c r="C107" s="27"/>
      <c r="D107" s="27"/>
      <c r="E107" s="27"/>
      <c r="F107" s="27"/>
    </row>
    <row r="108" spans="1:6" x14ac:dyDescent="0.25">
      <c r="C108" s="27"/>
      <c r="D108" s="27"/>
      <c r="E108" s="27"/>
      <c r="F108" s="27"/>
    </row>
    <row r="109" spans="1:6" x14ac:dyDescent="0.25">
      <c r="C109" s="27"/>
      <c r="D109" s="27"/>
      <c r="E109" s="27"/>
      <c r="F109" s="27"/>
    </row>
    <row r="110" spans="1:6" x14ac:dyDescent="0.25">
      <c r="C110" s="27"/>
      <c r="D110" s="27"/>
      <c r="E110" s="27"/>
      <c r="F110" s="27"/>
    </row>
    <row r="111" spans="1:6" x14ac:dyDescent="0.25">
      <c r="C111" s="27"/>
      <c r="D111" s="27"/>
      <c r="E111" s="27"/>
      <c r="F111" s="27"/>
    </row>
    <row r="112" spans="1:6" x14ac:dyDescent="0.25">
      <c r="C112" s="27"/>
      <c r="D112" s="27"/>
      <c r="E112" s="27"/>
      <c r="F112" s="27"/>
    </row>
    <row r="113" spans="3:6" x14ac:dyDescent="0.25">
      <c r="C113" s="27"/>
      <c r="D113" s="27"/>
      <c r="E113" s="27"/>
      <c r="F113" s="27"/>
    </row>
    <row r="114" spans="3:6" x14ac:dyDescent="0.25">
      <c r="C114" s="27"/>
      <c r="D114" s="27"/>
      <c r="E114" s="27"/>
      <c r="F114" s="27"/>
    </row>
    <row r="115" spans="3:6" x14ac:dyDescent="0.25">
      <c r="C115" s="27"/>
      <c r="D115" s="27"/>
      <c r="E115" s="27"/>
      <c r="F115" s="27"/>
    </row>
    <row r="116" spans="3:6" x14ac:dyDescent="0.25">
      <c r="C116" s="27"/>
      <c r="D116" s="27"/>
      <c r="E116" s="27"/>
      <c r="F116" s="27"/>
    </row>
    <row r="117" spans="3:6" x14ac:dyDescent="0.25">
      <c r="C117" s="27"/>
      <c r="D117" s="27"/>
      <c r="E117" s="27"/>
      <c r="F117" s="27"/>
    </row>
    <row r="118" spans="3:6" x14ac:dyDescent="0.25">
      <c r="C118" s="27"/>
      <c r="D118" s="27"/>
      <c r="E118" s="27"/>
      <c r="F118" s="27"/>
    </row>
    <row r="119" spans="3:6" x14ac:dyDescent="0.25">
      <c r="C119" s="27"/>
      <c r="D119" s="27"/>
      <c r="E119" s="27"/>
      <c r="F119" s="27"/>
    </row>
    <row r="120" spans="3:6" x14ac:dyDescent="0.25">
      <c r="C120" s="27"/>
      <c r="D120" s="27"/>
      <c r="E120" s="27"/>
      <c r="F120" s="27"/>
    </row>
    <row r="121" spans="3:6" x14ac:dyDescent="0.25">
      <c r="C121" s="27"/>
      <c r="D121" s="27"/>
      <c r="E121" s="27"/>
      <c r="F121" s="27"/>
    </row>
    <row r="122" spans="3:6" x14ac:dyDescent="0.25">
      <c r="C122" s="27"/>
      <c r="D122" s="27"/>
      <c r="E122" s="27"/>
      <c r="F122" s="27"/>
    </row>
    <row r="123" spans="3:6" x14ac:dyDescent="0.25">
      <c r="C123" s="27"/>
      <c r="D123" s="27"/>
      <c r="E123" s="27"/>
      <c r="F123" s="27"/>
    </row>
    <row r="124" spans="3:6" x14ac:dyDescent="0.25">
      <c r="C124" s="27"/>
      <c r="D124" s="27"/>
      <c r="E124" s="27"/>
      <c r="F124" s="27"/>
    </row>
    <row r="125" spans="3:6" x14ac:dyDescent="0.25">
      <c r="C125" s="27"/>
      <c r="D125" s="27"/>
      <c r="E125" s="27"/>
      <c r="F125" s="27"/>
    </row>
    <row r="126" spans="3:6" x14ac:dyDescent="0.25">
      <c r="C126" s="27"/>
      <c r="D126" s="27"/>
      <c r="E126" s="27"/>
      <c r="F126" s="27"/>
    </row>
    <row r="127" spans="3:6" x14ac:dyDescent="0.25">
      <c r="C127" s="27"/>
      <c r="D127" s="27"/>
      <c r="E127" s="27"/>
      <c r="F127" s="27"/>
    </row>
    <row r="128" spans="3:6" x14ac:dyDescent="0.25">
      <c r="C128" s="27"/>
      <c r="D128" s="27"/>
      <c r="E128" s="27"/>
      <c r="F128" s="27"/>
    </row>
    <row r="129" spans="3:6" x14ac:dyDescent="0.25">
      <c r="C129" s="27"/>
      <c r="D129" s="27"/>
      <c r="E129" s="27"/>
      <c r="F129" s="27"/>
    </row>
    <row r="130" spans="3:6" x14ac:dyDescent="0.25">
      <c r="C130" s="27"/>
      <c r="D130" s="27"/>
      <c r="E130" s="27"/>
      <c r="F130" s="27"/>
    </row>
    <row r="131" spans="3:6" x14ac:dyDescent="0.25">
      <c r="C131" s="27"/>
      <c r="D131" s="27"/>
      <c r="E131" s="27"/>
      <c r="F131" s="27"/>
    </row>
    <row r="132" spans="3:6" x14ac:dyDescent="0.25">
      <c r="C132" s="27"/>
      <c r="D132" s="27"/>
      <c r="E132" s="27"/>
      <c r="F132" s="27"/>
    </row>
    <row r="133" spans="3:6" x14ac:dyDescent="0.25">
      <c r="C133" s="27"/>
      <c r="D133" s="27"/>
      <c r="E133" s="27"/>
      <c r="F133" s="27"/>
    </row>
    <row r="134" spans="3:6" x14ac:dyDescent="0.25">
      <c r="C134" s="27"/>
      <c r="D134" s="27"/>
      <c r="E134" s="27"/>
      <c r="F134" s="27"/>
    </row>
    <row r="135" spans="3:6" x14ac:dyDescent="0.25">
      <c r="C135" s="27"/>
      <c r="D135" s="27"/>
      <c r="E135" s="27"/>
      <c r="F135" s="27"/>
    </row>
    <row r="136" spans="3:6" x14ac:dyDescent="0.25">
      <c r="C136" s="27"/>
      <c r="D136" s="27"/>
      <c r="E136" s="27"/>
      <c r="F136" s="27"/>
    </row>
    <row r="137" spans="3:6" x14ac:dyDescent="0.25">
      <c r="C137" s="27"/>
      <c r="D137" s="27"/>
      <c r="E137" s="27"/>
      <c r="F137" s="27"/>
    </row>
    <row r="138" spans="3:6" x14ac:dyDescent="0.25">
      <c r="C138" s="27"/>
      <c r="D138" s="27"/>
      <c r="E138" s="27"/>
      <c r="F138" s="27"/>
    </row>
    <row r="139" spans="3:6" x14ac:dyDescent="0.25">
      <c r="C139" s="27"/>
      <c r="D139" s="27"/>
      <c r="E139" s="27"/>
      <c r="F139" s="27"/>
    </row>
    <row r="140" spans="3:6" x14ac:dyDescent="0.25">
      <c r="C140" s="27"/>
      <c r="D140" s="27"/>
      <c r="E140" s="27"/>
      <c r="F140" s="27"/>
    </row>
    <row r="141" spans="3:6" x14ac:dyDescent="0.25">
      <c r="C141" s="27"/>
      <c r="D141" s="27"/>
      <c r="E141" s="27"/>
      <c r="F141" s="27"/>
    </row>
    <row r="142" spans="3:6" x14ac:dyDescent="0.25">
      <c r="C142" s="27"/>
      <c r="D142" s="27"/>
      <c r="E142" s="27"/>
      <c r="F142" s="27"/>
    </row>
    <row r="143" spans="3:6" x14ac:dyDescent="0.25">
      <c r="C143" s="27"/>
      <c r="D143" s="27"/>
      <c r="E143" s="27"/>
      <c r="F143" s="27"/>
    </row>
    <row r="144" spans="3:6" x14ac:dyDescent="0.25">
      <c r="C144" s="27"/>
      <c r="D144" s="27"/>
      <c r="E144" s="27"/>
      <c r="F144" s="27"/>
    </row>
    <row r="145" spans="3:6" x14ac:dyDescent="0.25">
      <c r="C145" s="27"/>
      <c r="D145" s="27"/>
      <c r="E145" s="27"/>
      <c r="F145" s="27"/>
    </row>
    <row r="146" spans="3:6" x14ac:dyDescent="0.25">
      <c r="C146" s="27"/>
      <c r="D146" s="27"/>
      <c r="E146" s="27"/>
      <c r="F146" s="27"/>
    </row>
    <row r="147" spans="3:6" x14ac:dyDescent="0.25">
      <c r="C147" s="27"/>
      <c r="D147" s="27"/>
      <c r="E147" s="27"/>
      <c r="F147" s="27"/>
    </row>
    <row r="148" spans="3:6" x14ac:dyDescent="0.25">
      <c r="C148" s="27"/>
      <c r="D148" s="27"/>
      <c r="E148" s="27"/>
      <c r="F148" s="27"/>
    </row>
    <row r="149" spans="3:6" x14ac:dyDescent="0.25">
      <c r="C149" s="27"/>
      <c r="D149" s="27"/>
      <c r="E149" s="27"/>
      <c r="F149" s="27"/>
    </row>
    <row r="150" spans="3:6" x14ac:dyDescent="0.25">
      <c r="C150" s="27"/>
      <c r="D150" s="27"/>
      <c r="E150" s="27"/>
      <c r="F150" s="27"/>
    </row>
    <row r="151" spans="3:6" x14ac:dyDescent="0.25">
      <c r="C151" s="27"/>
      <c r="D151" s="27"/>
      <c r="E151" s="27"/>
      <c r="F151" s="27"/>
    </row>
    <row r="152" spans="3:6" x14ac:dyDescent="0.25">
      <c r="C152" s="27"/>
      <c r="D152" s="27"/>
      <c r="E152" s="27"/>
      <c r="F152" s="27"/>
    </row>
    <row r="153" spans="3:6" x14ac:dyDescent="0.25">
      <c r="C153" s="27"/>
      <c r="D153" s="27"/>
      <c r="E153" s="27"/>
      <c r="F153" s="27"/>
    </row>
    <row r="154" spans="3:6" x14ac:dyDescent="0.25">
      <c r="C154" s="27"/>
      <c r="D154" s="27"/>
      <c r="E154" s="27"/>
      <c r="F154" s="27"/>
    </row>
    <row r="155" spans="3:6" x14ac:dyDescent="0.25">
      <c r="C155" s="27"/>
      <c r="D155" s="27"/>
      <c r="E155" s="27"/>
      <c r="F155" s="27"/>
    </row>
    <row r="156" spans="3:6" x14ac:dyDescent="0.25">
      <c r="C156" s="27"/>
      <c r="D156" s="27"/>
      <c r="E156" s="27"/>
      <c r="F156" s="27"/>
    </row>
    <row r="157" spans="3:6" x14ac:dyDescent="0.25">
      <c r="C157" s="27"/>
      <c r="D157" s="27"/>
      <c r="E157" s="27"/>
      <c r="F157" s="27"/>
    </row>
    <row r="158" spans="3:6" x14ac:dyDescent="0.25">
      <c r="C158" s="27"/>
      <c r="D158" s="27"/>
      <c r="E158" s="27"/>
      <c r="F158" s="27"/>
    </row>
    <row r="159" spans="3:6" x14ac:dyDescent="0.25">
      <c r="C159" s="27"/>
      <c r="D159" s="27"/>
      <c r="E159" s="27"/>
      <c r="F159" s="27"/>
    </row>
    <row r="160" spans="3:6" x14ac:dyDescent="0.25">
      <c r="C160" s="27"/>
      <c r="D160" s="27"/>
      <c r="E160" s="27"/>
      <c r="F160" s="27"/>
    </row>
    <row r="161" spans="3:6" x14ac:dyDescent="0.25">
      <c r="C161" s="27"/>
      <c r="D161" s="27"/>
      <c r="E161" s="27"/>
      <c r="F161" s="27"/>
    </row>
    <row r="162" spans="3:6" x14ac:dyDescent="0.25">
      <c r="C162" s="27"/>
      <c r="D162" s="27"/>
      <c r="E162" s="27"/>
      <c r="F162" s="27"/>
    </row>
    <row r="163" spans="3:6" x14ac:dyDescent="0.25">
      <c r="C163" s="27"/>
      <c r="D163" s="27"/>
      <c r="E163" s="27"/>
      <c r="F163" s="27"/>
    </row>
    <row r="164" spans="3:6" x14ac:dyDescent="0.25">
      <c r="C164" s="27"/>
      <c r="D164" s="27"/>
      <c r="E164" s="27"/>
      <c r="F164" s="27"/>
    </row>
    <row r="165" spans="3:6" x14ac:dyDescent="0.25">
      <c r="C165" s="27"/>
      <c r="D165" s="27"/>
      <c r="E165" s="27"/>
      <c r="F165" s="27"/>
    </row>
    <row r="166" spans="3:6" x14ac:dyDescent="0.25">
      <c r="C166" s="27"/>
      <c r="D166" s="27"/>
      <c r="E166" s="27"/>
      <c r="F166" s="27"/>
    </row>
    <row r="167" spans="3:6" x14ac:dyDescent="0.25">
      <c r="C167" s="27"/>
      <c r="D167" s="27"/>
      <c r="E167" s="27"/>
      <c r="F167" s="27"/>
    </row>
    <row r="168" spans="3:6" x14ac:dyDescent="0.25">
      <c r="C168" s="27"/>
      <c r="D168" s="27"/>
      <c r="E168" s="27"/>
      <c r="F168" s="27"/>
    </row>
    <row r="169" spans="3:6" x14ac:dyDescent="0.25">
      <c r="C169" s="27"/>
      <c r="D169" s="27"/>
      <c r="E169" s="27"/>
      <c r="F169" s="27"/>
    </row>
    <row r="170" spans="3:6" x14ac:dyDescent="0.25">
      <c r="C170" s="27"/>
      <c r="D170" s="27"/>
      <c r="E170" s="27"/>
      <c r="F170" s="27"/>
    </row>
    <row r="171" spans="3:6" x14ac:dyDescent="0.25">
      <c r="C171" s="27"/>
      <c r="D171" s="27"/>
      <c r="E171" s="27"/>
      <c r="F171" s="27"/>
    </row>
    <row r="172" spans="3:6" x14ac:dyDescent="0.25">
      <c r="C172" s="27"/>
      <c r="D172" s="27"/>
      <c r="E172" s="27"/>
      <c r="F172" s="27"/>
    </row>
    <row r="173" spans="3:6" x14ac:dyDescent="0.25">
      <c r="C173" s="27"/>
      <c r="D173" s="27"/>
      <c r="E173" s="27"/>
      <c r="F173" s="27"/>
    </row>
    <row r="174" spans="3:6" x14ac:dyDescent="0.25">
      <c r="C174" s="27"/>
      <c r="D174" s="27"/>
      <c r="E174" s="27"/>
      <c r="F174" s="27"/>
    </row>
    <row r="175" spans="3:6" x14ac:dyDescent="0.25">
      <c r="C175" s="27"/>
      <c r="D175" s="27"/>
      <c r="E175" s="27"/>
      <c r="F175" s="27"/>
    </row>
    <row r="176" spans="3:6" x14ac:dyDescent="0.25">
      <c r="C176" s="27"/>
      <c r="D176" s="27"/>
      <c r="E176" s="27"/>
      <c r="F176" s="27"/>
    </row>
    <row r="177" spans="3:6" x14ac:dyDescent="0.25">
      <c r="C177" s="27"/>
      <c r="D177" s="27"/>
      <c r="E177" s="27"/>
      <c r="F177" s="27"/>
    </row>
    <row r="178" spans="3:6" x14ac:dyDescent="0.25">
      <c r="C178" s="27"/>
      <c r="D178" s="27"/>
      <c r="E178" s="27"/>
      <c r="F178" s="27"/>
    </row>
    <row r="179" spans="3:6" x14ac:dyDescent="0.25">
      <c r="C179" s="27"/>
      <c r="D179" s="27"/>
      <c r="E179" s="27"/>
      <c r="F179" s="27"/>
    </row>
    <row r="180" spans="3:6" x14ac:dyDescent="0.25">
      <c r="C180" s="27"/>
      <c r="D180" s="27"/>
      <c r="E180" s="27"/>
      <c r="F180" s="27"/>
    </row>
    <row r="181" spans="3:6" x14ac:dyDescent="0.25">
      <c r="C181" s="27"/>
      <c r="D181" s="27"/>
      <c r="E181" s="27"/>
      <c r="F181" s="27"/>
    </row>
    <row r="182" spans="3:6" x14ac:dyDescent="0.25">
      <c r="C182" s="27"/>
      <c r="D182" s="27"/>
      <c r="E182" s="27"/>
      <c r="F182" s="27"/>
    </row>
    <row r="183" spans="3:6" x14ac:dyDescent="0.25">
      <c r="C183" s="27"/>
      <c r="D183" s="27"/>
      <c r="E183" s="27"/>
      <c r="F183" s="27"/>
    </row>
    <row r="184" spans="3:6" x14ac:dyDescent="0.25">
      <c r="C184" s="27"/>
      <c r="D184" s="27"/>
      <c r="E184" s="27"/>
      <c r="F184" s="27"/>
    </row>
    <row r="185" spans="3:6" x14ac:dyDescent="0.25">
      <c r="C185" s="27"/>
      <c r="D185" s="27"/>
      <c r="E185" s="27"/>
      <c r="F185" s="27"/>
    </row>
    <row r="186" spans="3:6" x14ac:dyDescent="0.25">
      <c r="C186" s="27"/>
      <c r="D186" s="27"/>
      <c r="E186" s="27"/>
      <c r="F186" s="27"/>
    </row>
    <row r="187" spans="3:6" x14ac:dyDescent="0.25">
      <c r="C187" s="27"/>
      <c r="D187" s="27"/>
      <c r="E187" s="27"/>
      <c r="F187" s="27"/>
    </row>
    <row r="188" spans="3:6" x14ac:dyDescent="0.25">
      <c r="C188" s="27"/>
      <c r="D188" s="27"/>
      <c r="E188" s="27"/>
      <c r="F188" s="27"/>
    </row>
    <row r="189" spans="3:6" x14ac:dyDescent="0.25">
      <c r="C189" s="27"/>
      <c r="D189" s="27"/>
      <c r="E189" s="27"/>
      <c r="F189" s="27"/>
    </row>
    <row r="190" spans="3:6" x14ac:dyDescent="0.25">
      <c r="C190" s="27"/>
      <c r="D190" s="27"/>
      <c r="E190" s="27"/>
      <c r="F190" s="27"/>
    </row>
    <row r="191" spans="3:6" x14ac:dyDescent="0.25">
      <c r="C191" s="27"/>
      <c r="D191" s="27"/>
      <c r="E191" s="27"/>
      <c r="F191" s="27"/>
    </row>
    <row r="192" spans="3:6" x14ac:dyDescent="0.25">
      <c r="C192" s="27"/>
      <c r="D192" s="27"/>
      <c r="E192" s="27"/>
      <c r="F192" s="27"/>
    </row>
    <row r="193" spans="3:6" x14ac:dyDescent="0.25">
      <c r="C193" s="27"/>
      <c r="D193" s="27"/>
      <c r="E193" s="27"/>
      <c r="F193" s="27"/>
    </row>
    <row r="194" spans="3:6" x14ac:dyDescent="0.25">
      <c r="C194" s="27"/>
      <c r="D194" s="27"/>
      <c r="E194" s="27"/>
      <c r="F194" s="27"/>
    </row>
    <row r="195" spans="3:6" x14ac:dyDescent="0.25">
      <c r="C195" s="27"/>
      <c r="D195" s="27"/>
      <c r="E195" s="27"/>
      <c r="F195" s="27"/>
    </row>
    <row r="196" spans="3:6" x14ac:dyDescent="0.25">
      <c r="C196" s="27"/>
      <c r="D196" s="27"/>
      <c r="E196" s="27"/>
      <c r="F196" s="27"/>
    </row>
    <row r="197" spans="3:6" x14ac:dyDescent="0.25">
      <c r="C197" s="27"/>
      <c r="D197" s="27"/>
      <c r="E197" s="27"/>
      <c r="F197" s="27"/>
    </row>
    <row r="198" spans="3:6" x14ac:dyDescent="0.25">
      <c r="C198" s="27"/>
      <c r="D198" s="27"/>
      <c r="E198" s="27"/>
      <c r="F198" s="27"/>
    </row>
    <row r="199" spans="3:6" x14ac:dyDescent="0.25">
      <c r="C199" s="27"/>
      <c r="D199" s="27"/>
      <c r="E199" s="27"/>
      <c r="F199" s="27"/>
    </row>
    <row r="200" spans="3:6" x14ac:dyDescent="0.25">
      <c r="C200" s="27"/>
      <c r="D200" s="27"/>
      <c r="E200" s="27"/>
      <c r="F200" s="27"/>
    </row>
    <row r="201" spans="3:6" x14ac:dyDescent="0.25">
      <c r="C201" s="27"/>
      <c r="D201" s="27"/>
      <c r="E201" s="27"/>
      <c r="F201" s="27"/>
    </row>
    <row r="202" spans="3:6" x14ac:dyDescent="0.25">
      <c r="C202" s="27"/>
      <c r="D202" s="27"/>
      <c r="E202" s="27"/>
      <c r="F202" s="27"/>
    </row>
    <row r="203" spans="3:6" x14ac:dyDescent="0.25">
      <c r="C203" s="27"/>
      <c r="D203" s="27"/>
      <c r="E203" s="27"/>
      <c r="F203" s="27"/>
    </row>
    <row r="204" spans="3:6" x14ac:dyDescent="0.25">
      <c r="C204" s="27"/>
      <c r="D204" s="27"/>
      <c r="E204" s="27"/>
      <c r="F204" s="27"/>
    </row>
  </sheetData>
  <mergeCells count="2">
    <mergeCell ref="A6:B7"/>
    <mergeCell ref="C16:D16"/>
  </mergeCells>
  <conditionalFormatting sqref="C6:ZZ6">
    <cfRule type="notContainsBlanks" dxfId="0" priority="1">
      <formula>LEN(TRIM(C6))&gt;0</formula>
    </cfRule>
  </conditionalFormatting>
  <pageMargins left="0.7" right="0.7" top="0.75" bottom="0.75" header="0.3" footer="0.3"/>
  <pageSetup paperSize="9" orientation="landscape" r:id="rId1"/>
  <headerFooter>
    <oddHeader>&amp;C&amp;"-,Bold"&amp;18DIFERENÇA DE PARTILHA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ITCD Calc</vt:lpstr>
      <vt:lpstr>Bens Avaliados</vt:lpstr>
      <vt:lpstr>Diferença de Partilha</vt:lpstr>
      <vt:lpstr>Bens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2022-03-08T03:30:06Z</dcterms:modified>
</cp:coreProperties>
</file>