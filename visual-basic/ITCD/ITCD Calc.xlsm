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GitHub\Coding\visual-basic\ITCD\"/>
    </mc:Choice>
  </mc:AlternateContent>
  <xr:revisionPtr revIDLastSave="0" documentId="13_ncr:1_{11E0D824-0579-4E69-B0E1-F1C86FB641CA}" xr6:coauthVersionLast="47" xr6:coauthVersionMax="47" xr10:uidLastSave="{00000000-0000-0000-0000-000000000000}"/>
  <bookViews>
    <workbookView xWindow="390" yWindow="390" windowWidth="14040" windowHeight="11055" xr2:uid="{672E0194-3666-4CBD-B132-A4C95EE75CD4}"/>
  </bookViews>
  <sheets>
    <sheet name="ITCD Calc" sheetId="1" r:id="rId1"/>
    <sheet name="Bens Avaliados" sheetId="2" r:id="rId2"/>
  </sheets>
  <definedNames>
    <definedName name="monthCalc" comment="Mês em que o imposto foi calculado">'ITCD Calc'!$ZZ$102</definedName>
    <definedName name="monthVenc" comment="Mes de vencimento do imposto">'ITCD Calc'!$ZZ$101</definedName>
    <definedName name="yearActual">'ITCD Calc'!$ZZ$104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ZZ103" i="1"/>
  <c r="ZZ102" i="1"/>
  <c r="ZZ101" i="1"/>
  <c r="ZZ100" i="1"/>
</calcChain>
</file>

<file path=xl/sharedStrings.xml><?xml version="1.0" encoding="utf-8"?>
<sst xmlns="http://schemas.openxmlformats.org/spreadsheetml/2006/main" count="8" uniqueCount="8">
  <si>
    <t>Tipo de Declaração</t>
  </si>
  <si>
    <t>ANO</t>
  </si>
  <si>
    <t>UFEMG</t>
  </si>
  <si>
    <t>Atualização de Valor pela UFEMG</t>
  </si>
  <si>
    <t>UFEMG Avaliada</t>
  </si>
  <si>
    <t>UFEMG Venc.</t>
  </si>
  <si>
    <t>Valor Atualizado</t>
  </si>
  <si>
    <t>Valor Avaliado R$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</si>
</sst>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[&lt;=99999999999]000\.000\.000\-00;00\.000\.000\/0000\-00"/>
    <numFmt numFmtId="165" formatCode="000\.000\.000\.000\-0"/>
    <numFmt numFmtId="166" formatCode="yyyy"/>
    <numFmt numFmtId="167" formatCode="&quot;R$&quot;\ #,##0.00"/>
    <numFmt numFmtId="168" formatCode="0.0000%"/>
    <numFmt numFmtId="169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9" fontId="0" fillId="0" borderId="0" xfId="0" applyNumberForma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left"/>
    </xf>
    <xf numFmtId="0" fontId="0" fillId="3" borderId="0" xfId="0" applyFill="1"/>
    <xf numFmtId="165" fontId="0" fillId="3" borderId="0" xfId="0" applyNumberFormat="1" applyFill="1" applyAlignment="1">
      <alignment horizontal="left"/>
    </xf>
    <xf numFmtId="0" fontId="1" fillId="3" borderId="0" xfId="0" applyFont="1" applyFill="1" applyAlignment="1">
      <alignment horizontal="right"/>
    </xf>
    <xf numFmtId="14" fontId="0" fillId="3" borderId="0" xfId="0" applyNumberFormat="1" applyFill="1" applyAlignment="1">
      <alignment horizontal="left"/>
    </xf>
    <xf numFmtId="0" fontId="2" fillId="3" borderId="0" xfId="0" applyFont="1" applyFill="1"/>
    <xf numFmtId="0" fontId="0" fillId="3" borderId="0" xfId="0" applyNumberFormat="1" applyFill="1"/>
    <xf numFmtId="164" fontId="0" fillId="3" borderId="0" xfId="0" applyNumberFormat="1" applyFill="1" applyAlignment="1">
      <alignment horizontal="left"/>
    </xf>
    <xf numFmtId="166" fontId="0" fillId="3" borderId="0" xfId="0" applyNumberFormat="1" applyFill="1"/>
    <xf numFmtId="0" fontId="0" fillId="3" borderId="0" xfId="0" applyNumberFormat="1" applyFill="1" applyAlignment="1">
      <alignment horizontal="left"/>
    </xf>
    <xf numFmtId="167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9" fontId="0" fillId="3" borderId="0" xfId="1" applyFont="1" applyFill="1" applyAlignment="1">
      <alignment horizontal="left"/>
    </xf>
    <xf numFmtId="0" fontId="4" fillId="3" borderId="0" xfId="2" applyFill="1" applyAlignment="1">
      <alignment horizontal="right"/>
    </xf>
    <xf numFmtId="168" fontId="0" fillId="3" borderId="0" xfId="0" applyNumberFormat="1" applyFill="1"/>
    <xf numFmtId="7" fontId="1" fillId="3" borderId="0" xfId="0" applyNumberFormat="1" applyFont="1" applyFill="1"/>
    <xf numFmtId="44" fontId="0" fillId="0" borderId="0" xfId="3" applyFont="1"/>
    <xf numFmtId="7" fontId="0" fillId="3" borderId="0" xfId="0" applyNumberFormat="1" applyFill="1" applyAlignment="1">
      <alignment horizontal="left"/>
    </xf>
    <xf numFmtId="0" fontId="4" fillId="3" borderId="0" xfId="2" applyFill="1"/>
    <xf numFmtId="9" fontId="0" fillId="3" borderId="0" xfId="1" applyFont="1" applyFill="1"/>
    <xf numFmtId="0" fontId="1" fillId="2" borderId="0" xfId="0" applyFont="1" applyFill="1" applyAlignment="1">
      <alignment horizontal="center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9525</xdr:rowOff>
    </xdr:from>
    <xdr:to>
      <xdr:col>1</xdr:col>
      <xdr:colOff>1552575</xdr:colOff>
      <xdr:row>19</xdr:row>
      <xdr:rowOff>180975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76350" y="343852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2</xdr:col>
      <xdr:colOff>561975</xdr:colOff>
      <xdr:row>18</xdr:row>
      <xdr:rowOff>9525</xdr:rowOff>
    </xdr:from>
    <xdr:to>
      <xdr:col>3</xdr:col>
      <xdr:colOff>714375</xdr:colOff>
      <xdr:row>19</xdr:row>
      <xdr:rowOff>180975</xdr:rowOff>
    </xdr:to>
    <xdr:sp macro="[0]!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3390900" y="343852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view="pageLayout" zoomScaleNormal="100" workbookViewId="0">
      <selection activeCell="B1" sqref="B1"/>
    </sheetView>
  </sheetViews>
  <sheetFormatPr defaultRowHeight="15" x14ac:dyDescent="0.25"/>
  <cols>
    <col min="1" max="1" width="17.85546875" bestFit="1" customWidth="1"/>
    <col min="2" max="2" width="22" style="2" customWidth="1"/>
    <col min="3" max="3" width="19.5703125" bestFit="1" customWidth="1"/>
    <col min="4" max="4" width="14" customWidth="1"/>
    <col min="6" max="6" width="13.140625" customWidth="1"/>
    <col min="7" max="7" width="13.5703125" customWidth="1"/>
    <col min="9" max="9" width="15.42578125" bestFit="1" customWidth="1"/>
    <col min="10" max="10" width="14.28515625" bestFit="1" customWidth="1"/>
  </cols>
  <sheetData>
    <row r="1" spans="1:12" x14ac:dyDescent="0.25">
      <c r="A1" s="6" t="s">
        <v>0</v>
      </c>
      <c r="B1" s="7"/>
      <c r="C1" s="8"/>
      <c r="D1" s="8"/>
      <c r="E1" s="8"/>
    </row>
    <row r="2" spans="1:12" x14ac:dyDescent="0.25">
      <c r="A2" s="6"/>
      <c r="B2" s="9"/>
      <c r="C2" s="10"/>
      <c r="D2" s="11"/>
      <c r="E2" s="8"/>
      <c r="F2" s="4" t="s">
        <v>1</v>
      </c>
      <c r="G2" s="4" t="s">
        <v>2</v>
      </c>
      <c r="I2" s="28" t="s">
        <v>3</v>
      </c>
      <c r="J2" s="28"/>
      <c r="K2" s="28"/>
      <c r="L2" s="28"/>
    </row>
    <row r="3" spans="1:12" x14ac:dyDescent="0.25">
      <c r="A3" s="12"/>
      <c r="B3" s="7"/>
      <c r="C3" s="10"/>
      <c r="D3" s="13"/>
      <c r="E3" s="8"/>
      <c r="F3">
        <v>1997</v>
      </c>
      <c r="G3" s="3">
        <v>0.91080000000000005</v>
      </c>
      <c r="I3" s="5" t="s">
        <v>7</v>
      </c>
      <c r="J3" s="24"/>
    </row>
    <row r="4" spans="1:12" x14ac:dyDescent="0.25">
      <c r="A4" s="6"/>
      <c r="B4" s="14"/>
      <c r="C4" s="10"/>
      <c r="D4" s="13"/>
      <c r="E4" s="8"/>
      <c r="F4">
        <v>1998</v>
      </c>
      <c r="G4" s="3">
        <v>0.96109999999999995</v>
      </c>
      <c r="I4" s="5" t="s">
        <v>4</v>
      </c>
    </row>
    <row r="5" spans="1:12" x14ac:dyDescent="0.25">
      <c r="A5" s="6"/>
      <c r="B5" s="11"/>
      <c r="C5" s="8"/>
      <c r="D5" s="8"/>
      <c r="E5" s="8"/>
      <c r="F5">
        <v>1999</v>
      </c>
      <c r="G5" s="3">
        <v>0.97699999999999998</v>
      </c>
      <c r="I5" s="5" t="s">
        <v>5</v>
      </c>
    </row>
    <row r="6" spans="1:12" x14ac:dyDescent="0.25">
      <c r="A6" s="8"/>
      <c r="B6" s="7"/>
      <c r="C6" s="8"/>
      <c r="D6" s="8"/>
      <c r="E6" s="8"/>
      <c r="F6">
        <v>2000</v>
      </c>
      <c r="G6" s="3">
        <v>1.0641</v>
      </c>
      <c r="I6" s="5" t="s">
        <v>6</v>
      </c>
      <c r="J6" s="24" t="str">
        <f>IF(AND(J5&lt;&gt;"",J4&lt;&gt;"",J3&lt;&gt;""),J3/J4*J5,"")</f>
        <v/>
      </c>
    </row>
    <row r="7" spans="1:12" x14ac:dyDescent="0.25">
      <c r="A7" s="6"/>
      <c r="B7" s="11"/>
      <c r="C7" s="15"/>
      <c r="D7" s="8"/>
      <c r="E7" s="8"/>
      <c r="F7">
        <v>2001</v>
      </c>
      <c r="G7" s="3">
        <v>1.0641</v>
      </c>
    </row>
    <row r="8" spans="1:12" x14ac:dyDescent="0.25">
      <c r="A8" s="6"/>
      <c r="B8" s="11"/>
      <c r="C8" s="8"/>
      <c r="D8" s="8"/>
      <c r="E8" s="8"/>
      <c r="F8">
        <v>2002</v>
      </c>
      <c r="G8" s="3">
        <v>1.0641</v>
      </c>
    </row>
    <row r="9" spans="1:12" x14ac:dyDescent="0.25">
      <c r="A9" s="6"/>
      <c r="B9" s="16"/>
      <c r="C9" s="8"/>
      <c r="D9" s="8"/>
      <c r="E9" s="8"/>
      <c r="F9">
        <v>2003</v>
      </c>
      <c r="G9" s="3">
        <v>1.2490000000000001</v>
      </c>
    </row>
    <row r="10" spans="1:12" x14ac:dyDescent="0.25">
      <c r="A10" s="6"/>
      <c r="B10" s="17"/>
      <c r="C10" s="18"/>
      <c r="D10" s="8"/>
      <c r="E10" s="8"/>
      <c r="F10">
        <v>2004</v>
      </c>
      <c r="G10" s="3">
        <v>1.4460999999999999</v>
      </c>
    </row>
    <row r="11" spans="1:12" x14ac:dyDescent="0.25">
      <c r="A11" s="6"/>
      <c r="B11" s="17"/>
      <c r="C11" s="19"/>
      <c r="D11" s="8"/>
      <c r="E11" s="8"/>
      <c r="F11">
        <v>2005</v>
      </c>
      <c r="G11" s="3">
        <v>1.6174999999999999</v>
      </c>
    </row>
    <row r="12" spans="1:12" x14ac:dyDescent="0.25">
      <c r="A12" s="6"/>
      <c r="B12" s="20"/>
      <c r="C12" s="8"/>
      <c r="D12" s="8"/>
      <c r="E12" s="8"/>
      <c r="F12">
        <v>2006</v>
      </c>
      <c r="G12" s="3">
        <v>1.6528</v>
      </c>
    </row>
    <row r="13" spans="1:12" x14ac:dyDescent="0.25">
      <c r="A13" s="6"/>
      <c r="B13" s="17"/>
      <c r="C13" s="8"/>
      <c r="D13" s="8"/>
      <c r="E13" s="8"/>
      <c r="F13">
        <v>2007</v>
      </c>
      <c r="G13" s="3">
        <v>1.708</v>
      </c>
    </row>
    <row r="14" spans="1:12" x14ac:dyDescent="0.25">
      <c r="A14" s="6"/>
      <c r="B14" s="17"/>
      <c r="C14" s="8"/>
      <c r="D14" s="8"/>
      <c r="E14" s="8"/>
      <c r="F14">
        <v>2008</v>
      </c>
      <c r="G14" s="3">
        <v>1.8122</v>
      </c>
    </row>
    <row r="15" spans="1:12" x14ac:dyDescent="0.25">
      <c r="A15" s="6"/>
      <c r="B15" s="17"/>
      <c r="C15" s="21"/>
      <c r="D15" s="22"/>
      <c r="E15" s="8"/>
      <c r="F15">
        <v>2009</v>
      </c>
      <c r="G15" s="3">
        <v>2.0348999999999999</v>
      </c>
    </row>
    <row r="16" spans="1:12" x14ac:dyDescent="0.25">
      <c r="A16" s="23"/>
      <c r="B16" s="17"/>
      <c r="C16" s="26"/>
      <c r="D16" s="27"/>
      <c r="E16" s="8"/>
      <c r="F16">
        <v>2010</v>
      </c>
      <c r="G16" s="3">
        <v>1.9991000000000001</v>
      </c>
    </row>
    <row r="17" spans="1:7" x14ac:dyDescent="0.25">
      <c r="A17" s="6"/>
      <c r="B17" s="25"/>
      <c r="C17" s="8"/>
      <c r="D17" s="8"/>
      <c r="E17" s="8"/>
      <c r="F17">
        <v>2011</v>
      </c>
      <c r="G17" s="3">
        <v>2.1812999999999998</v>
      </c>
    </row>
    <row r="18" spans="1:7" x14ac:dyDescent="0.25">
      <c r="A18" s="6"/>
      <c r="B18" s="7"/>
      <c r="C18" s="8"/>
      <c r="D18" s="8"/>
      <c r="E18" s="8"/>
      <c r="F18">
        <v>2012</v>
      </c>
      <c r="G18" s="3">
        <v>2.3290999999999999</v>
      </c>
    </row>
    <row r="19" spans="1:7" x14ac:dyDescent="0.25">
      <c r="A19" s="6"/>
      <c r="B19" s="7"/>
      <c r="C19" s="8"/>
      <c r="D19" s="8"/>
      <c r="E19" s="8"/>
      <c r="F19">
        <v>2013</v>
      </c>
      <c r="G19" s="3">
        <v>2.5015999999999998</v>
      </c>
    </row>
    <row r="20" spans="1:7" x14ac:dyDescent="0.25">
      <c r="A20" s="6"/>
      <c r="B20" s="7"/>
      <c r="C20" s="8"/>
      <c r="D20" s="8"/>
      <c r="E20" s="8"/>
      <c r="F20">
        <v>2014</v>
      </c>
      <c r="G20" s="3">
        <v>2.6381999999999999</v>
      </c>
    </row>
    <row r="21" spans="1:7" x14ac:dyDescent="0.25">
      <c r="A21" s="6"/>
      <c r="B21" s="7"/>
      <c r="C21" s="8"/>
      <c r="D21" s="8"/>
      <c r="E21" s="8"/>
      <c r="F21">
        <v>2015</v>
      </c>
      <c r="G21" s="3">
        <v>2.7229000000000001</v>
      </c>
    </row>
    <row r="22" spans="1:7" x14ac:dyDescent="0.25">
      <c r="A22" s="6"/>
      <c r="B22" s="7"/>
      <c r="C22" s="8"/>
      <c r="D22" s="8"/>
      <c r="E22" s="8"/>
      <c r="F22">
        <v>2016</v>
      </c>
      <c r="G22" s="3">
        <v>3.0108999999999999</v>
      </c>
    </row>
    <row r="23" spans="1:7" x14ac:dyDescent="0.25">
      <c r="A23" s="6"/>
      <c r="B23" s="7"/>
      <c r="C23" s="8"/>
      <c r="D23" s="8"/>
      <c r="E23" s="8"/>
      <c r="F23">
        <v>2017</v>
      </c>
      <c r="G23" s="3">
        <v>3.2513999999999998</v>
      </c>
    </row>
    <row r="24" spans="1:7" x14ac:dyDescent="0.25">
      <c r="A24" s="6"/>
      <c r="B24" s="7"/>
      <c r="C24" s="8"/>
      <c r="D24" s="8"/>
      <c r="E24" s="8"/>
      <c r="F24">
        <v>2018</v>
      </c>
      <c r="G24" s="3">
        <v>3.2513999999999998</v>
      </c>
    </row>
    <row r="25" spans="1:7" x14ac:dyDescent="0.25">
      <c r="A25" s="6"/>
      <c r="B25" s="7"/>
      <c r="C25" s="8"/>
      <c r="D25" s="8"/>
      <c r="E25" s="8"/>
      <c r="F25">
        <v>2019</v>
      </c>
      <c r="G25" s="3">
        <v>3.5931999999999999</v>
      </c>
    </row>
    <row r="26" spans="1:7" x14ac:dyDescent="0.25">
      <c r="A26" s="6"/>
      <c r="B26" s="7"/>
      <c r="C26" s="8"/>
      <c r="D26" s="8"/>
      <c r="E26" s="8"/>
      <c r="F26">
        <v>2020</v>
      </c>
      <c r="G26" s="3">
        <v>3.7115999999999998</v>
      </c>
    </row>
    <row r="27" spans="1:7" x14ac:dyDescent="0.25">
      <c r="A27" s="6"/>
      <c r="B27" s="7"/>
      <c r="C27" s="8"/>
      <c r="D27" s="8"/>
      <c r="E27" s="8"/>
      <c r="F27">
        <v>2021</v>
      </c>
      <c r="G27" s="3">
        <v>3.944</v>
      </c>
    </row>
    <row r="28" spans="1:7" x14ac:dyDescent="0.25">
      <c r="A28" s="6"/>
      <c r="B28" s="7"/>
      <c r="C28" s="8"/>
      <c r="D28" s="8"/>
      <c r="E28" s="8"/>
    </row>
    <row r="29" spans="1:7" x14ac:dyDescent="0.25">
      <c r="A29" s="6"/>
      <c r="B29" s="7"/>
      <c r="C29" s="8"/>
      <c r="D29" s="8"/>
      <c r="E29" s="8"/>
    </row>
    <row r="30" spans="1:7" x14ac:dyDescent="0.25">
      <c r="A30" s="6"/>
      <c r="B30" s="7"/>
      <c r="C30" s="8"/>
      <c r="D30" s="8"/>
      <c r="E30" s="8"/>
    </row>
    <row r="31" spans="1:7" x14ac:dyDescent="0.25">
      <c r="A31" s="6"/>
      <c r="B31" s="7"/>
      <c r="C31" s="8"/>
      <c r="D31" s="8"/>
      <c r="E31" s="8"/>
    </row>
    <row r="32" spans="1:7" x14ac:dyDescent="0.25">
      <c r="A32" s="6"/>
      <c r="B32" s="7"/>
      <c r="C32" s="8"/>
      <c r="D32" s="8"/>
      <c r="E32" s="8"/>
    </row>
    <row r="33" spans="1:5" x14ac:dyDescent="0.25">
      <c r="A33" s="6"/>
      <c r="B33" s="7"/>
      <c r="C33" s="8"/>
      <c r="D33" s="8"/>
      <c r="E33" s="8"/>
    </row>
    <row r="34" spans="1:5" x14ac:dyDescent="0.25">
      <c r="A34" s="6"/>
      <c r="B34" s="7"/>
      <c r="C34" s="8"/>
      <c r="D34" s="8"/>
      <c r="E34" s="8"/>
    </row>
    <row r="35" spans="1:5" x14ac:dyDescent="0.25">
      <c r="A35" s="6"/>
      <c r="B35" s="7"/>
      <c r="C35" s="8"/>
      <c r="D35" s="8"/>
      <c r="E35" s="8"/>
    </row>
    <row r="36" spans="1:5" x14ac:dyDescent="0.25">
      <c r="A36" s="6"/>
      <c r="B36" s="7"/>
      <c r="C36" s="8"/>
      <c r="D36" s="8"/>
      <c r="E36" s="8"/>
    </row>
    <row r="37" spans="1:5" x14ac:dyDescent="0.25">
      <c r="A37" s="6"/>
      <c r="B37" s="7"/>
      <c r="C37" s="8"/>
      <c r="D37" s="8"/>
      <c r="E37" s="8"/>
    </row>
    <row r="38" spans="1:5" x14ac:dyDescent="0.25">
      <c r="A38" s="6"/>
      <c r="B38" s="7"/>
      <c r="C38" s="8"/>
      <c r="D38" s="8"/>
      <c r="E38" s="8"/>
    </row>
    <row r="39" spans="1:5" x14ac:dyDescent="0.25">
      <c r="A39" s="6"/>
      <c r="B39" s="7"/>
      <c r="C39" s="8"/>
      <c r="D39" s="8"/>
      <c r="E39" s="8"/>
    </row>
    <row r="40" spans="1:5" x14ac:dyDescent="0.25">
      <c r="A40" s="6"/>
      <c r="B40" s="7"/>
      <c r="C40" s="8"/>
      <c r="D40" s="8"/>
      <c r="E40" s="8"/>
    </row>
    <row r="41" spans="1:5" x14ac:dyDescent="0.25">
      <c r="A41" s="6"/>
      <c r="B41" s="7"/>
      <c r="C41" s="8"/>
      <c r="D41" s="8"/>
      <c r="E41" s="8"/>
    </row>
    <row r="42" spans="1:5" x14ac:dyDescent="0.25">
      <c r="A42" s="6"/>
      <c r="B42" s="7"/>
      <c r="C42" s="8"/>
      <c r="D42" s="8"/>
      <c r="E42" s="8"/>
    </row>
    <row r="43" spans="1:5" x14ac:dyDescent="0.25">
      <c r="A43" s="6"/>
      <c r="B43" s="7"/>
      <c r="C43" s="8"/>
      <c r="D43" s="8"/>
      <c r="E43" s="8"/>
    </row>
    <row r="44" spans="1:5" x14ac:dyDescent="0.25">
      <c r="A44" s="6"/>
      <c r="B44" s="7"/>
      <c r="C44" s="8"/>
      <c r="D44" s="8"/>
      <c r="E44" s="8"/>
    </row>
    <row r="45" spans="1:5" x14ac:dyDescent="0.25">
      <c r="A45" s="6"/>
      <c r="B45" s="7"/>
      <c r="C45" s="8"/>
      <c r="D45" s="8"/>
      <c r="E45" s="8"/>
    </row>
    <row r="46" spans="1:5" x14ac:dyDescent="0.25">
      <c r="A46" s="6"/>
      <c r="B46" s="7"/>
      <c r="C46" s="8"/>
      <c r="D46" s="8"/>
      <c r="E46" s="8"/>
    </row>
    <row r="47" spans="1:5" x14ac:dyDescent="0.25">
      <c r="A47" s="6"/>
      <c r="B47" s="7"/>
      <c r="C47" s="8"/>
      <c r="D47" s="8"/>
      <c r="E47" s="8"/>
    </row>
    <row r="48" spans="1:5" x14ac:dyDescent="0.25">
      <c r="A48" s="6"/>
      <c r="B48" s="7"/>
      <c r="C48" s="8"/>
      <c r="D48" s="8"/>
      <c r="E48" s="8"/>
    </row>
    <row r="49" spans="1:5" x14ac:dyDescent="0.25">
      <c r="A49" s="6"/>
      <c r="B49" s="7"/>
      <c r="C49" s="8"/>
      <c r="D49" s="8"/>
      <c r="E49" s="8"/>
    </row>
    <row r="50" spans="1:5" x14ac:dyDescent="0.25">
      <c r="A50" s="6"/>
      <c r="B50" s="7"/>
      <c r="C50" s="8"/>
      <c r="D50" s="8"/>
      <c r="E50" s="8"/>
    </row>
    <row r="51" spans="1:5" x14ac:dyDescent="0.25">
      <c r="A51" s="1"/>
    </row>
    <row r="52" spans="1:5" x14ac:dyDescent="0.25">
      <c r="A52" s="1"/>
    </row>
    <row r="53" spans="1:5" x14ac:dyDescent="0.25">
      <c r="A53" s="1"/>
    </row>
    <row r="54" spans="1:5" x14ac:dyDescent="0.25">
      <c r="A54" s="1"/>
    </row>
    <row r="55" spans="1:5" x14ac:dyDescent="0.25">
      <c r="A55" s="1"/>
    </row>
    <row r="56" spans="1:5" x14ac:dyDescent="0.25">
      <c r="A56" s="1"/>
    </row>
    <row r="57" spans="1:5" x14ac:dyDescent="0.25">
      <c r="A57" s="1"/>
    </row>
    <row r="58" spans="1:5" x14ac:dyDescent="0.25">
      <c r="A58" s="1"/>
    </row>
    <row r="59" spans="1:5" x14ac:dyDescent="0.25">
      <c r="A59" s="1"/>
    </row>
    <row r="60" spans="1:5" x14ac:dyDescent="0.25">
      <c r="A60" s="1"/>
    </row>
    <row r="61" spans="1:5" x14ac:dyDescent="0.25">
      <c r="A61" s="1"/>
    </row>
    <row r="62" spans="1:5" x14ac:dyDescent="0.25">
      <c r="A62" s="1"/>
    </row>
    <row r="63" spans="1:5" x14ac:dyDescent="0.25">
      <c r="A63" s="1"/>
    </row>
    <row r="64" spans="1:5" x14ac:dyDescent="0.25">
      <c r="A64" s="1"/>
    </row>
    <row r="65" spans="1:1" x14ac:dyDescent="0.25">
      <c r="A65" s="1"/>
    </row>
    <row r="100" spans="702:702" x14ac:dyDescent="0.25">
      <c r="ZZ100">
        <f>YEAR(B8)</f>
        <v>1900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1</v>
      </c>
    </row>
    <row r="103" spans="702:702" x14ac:dyDescent="0.25">
      <c r="ZZ103">
        <f>YEAR(D2)</f>
        <v>1900</v>
      </c>
    </row>
  </sheetData>
  <mergeCells count="1">
    <mergeCell ref="I2:L2"/>
  </mergeCells>
  <conditionalFormatting sqref="B8">
    <cfRule type="expression" dxfId="0" priority="1">
      <formula>"B8&lt;D2"</formula>
    </cfRule>
  </conditionalFormatting>
  <dataValidations count="3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B12" xr:uid="{8352D6E2-4A40-48CC-A2E1-78461245819B}">
      <mc:AlternateContent xmlns:x12ac="http://schemas.microsoft.com/office/spreadsheetml/2011/1/ac" xmlns:mc="http://schemas.openxmlformats.org/markup-compatibility/2006">
        <mc:Choice Requires="x12ac">
          <x12ac:list>"0,02","0,04","0,05"</x12ac:list>
        </mc:Choice>
        <mc:Fallback>
          <formula1>"0,02,0,04,0,05"</formula1>
        </mc:Fallback>
      </mc:AlternateContent>
    </dataValidation>
    <dataValidation type="list" allowBlank="1" showInputMessage="1" showErrorMessage="1" sqref="D3:D4" xr:uid="{D35A146A-570D-4AFA-ACC0-D3D6636B30A5}">
      <formula1>"Sim,Não"</formula1>
    </dataValidation>
  </dataValidations>
  <pageMargins left="0.7" right="0.7" top="0.75" bottom="0.75" header="0.3" footer="0.3"/>
  <pageSetup paperSize="9" orientation="portrait" horizontalDpi="0" verticalDpi="0" r:id="rId1"/>
  <headerFooter>
    <oddHeader>&amp;C&amp;"Arial Black,Bold"&amp;14DEMONSTRATIVO DE CÁLCULO DO ITCD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DA896-A254-4B31-A522-A63A9BFE541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ITCD Calc</vt:lpstr>
      <vt:lpstr>Bens Avaliados</vt:lpstr>
      <vt:lpstr>monthCalc</vt:lpstr>
      <vt:lpstr>monthVenc</vt:lpstr>
      <vt:lpstr>yearActual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2021-07-27T05:47:11Z</dcterms:modified>
</cp:coreProperties>
</file>