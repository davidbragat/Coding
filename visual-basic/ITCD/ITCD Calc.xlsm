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SEF\Setores\ITCD\"/>
    </mc:Choice>
  </mc:AlternateContent>
  <xr:revisionPtr revIDLastSave="0" documentId="13_ncr:1_{FD190A9A-126B-4106-BD33-E16025252409}" xr6:coauthVersionLast="47" xr6:coauthVersionMax="47" xr10:uidLastSave="{00000000-0000-0000-0000-000000000000}"/>
  <bookViews>
    <workbookView xWindow="-120" yWindow="-120" windowWidth="29040" windowHeight="15990" xr2:uid="{672E0194-3666-4CBD-B132-A4C95EE75CD4}"/>
  </bookViews>
  <sheets>
    <sheet name="ITCD Calc" sheetId="1" r:id="rId1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Z103" i="1" l="1"/>
  <c r="ZZ102" i="1"/>
  <c r="ZZ101" i="1"/>
  <c r="ZZ100" i="1"/>
  <c r="B9" i="1" s="1"/>
</calcChain>
</file>

<file path=xl/sharedStrings.xml><?xml version="1.0" encoding="utf-8"?>
<sst xmlns="http://schemas.openxmlformats.org/spreadsheetml/2006/main" count="22" uniqueCount="22">
  <si>
    <t>Tipo de Declaração</t>
  </si>
  <si>
    <t>ANO</t>
  </si>
  <si>
    <t>UFEMG</t>
  </si>
  <si>
    <t>Protocolo</t>
  </si>
  <si>
    <t>Data Vencimento</t>
  </si>
  <si>
    <t>Total Transmitido</t>
  </si>
  <si>
    <t>Base de Cálculo</t>
  </si>
  <si>
    <t>Alíquota</t>
  </si>
  <si>
    <t>Principal</t>
  </si>
  <si>
    <t>Multa</t>
  </si>
  <si>
    <t>Juros</t>
  </si>
  <si>
    <t>Total</t>
  </si>
  <si>
    <t>Donatário</t>
  </si>
  <si>
    <t>CPF Donatário</t>
  </si>
  <si>
    <t>Data do FG</t>
  </si>
  <si>
    <t>UFEMG Venc.</t>
  </si>
  <si>
    <t>Doação</t>
  </si>
  <si>
    <t>Cálculo efetuado em</t>
  </si>
  <si>
    <t>Selic Acumulada:</t>
  </si>
  <si>
    <t>David</t>
  </si>
  <si>
    <t>25.354,97 UFEMG</t>
  </si>
  <si>
    <t>12.677,48 UFEMG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</si>
</sst>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9" fontId="0" fillId="0" borderId="0" xfId="1" applyFont="1" applyAlignment="1">
      <alignment horizontal="left"/>
    </xf>
    <xf numFmtId="7" fontId="1" fillId="0" borderId="0" xfId="0" applyNumberFormat="1" applyFont="1"/>
    <xf numFmtId="0" fontId="1" fillId="0" borderId="0" xfId="0" applyFont="1" applyAlignment="1">
      <alignment horizontal="right"/>
    </xf>
    <xf numFmtId="0" fontId="0" fillId="0" borderId="0" xfId="0" applyNumberFormat="1"/>
    <xf numFmtId="0" fontId="4" fillId="0" borderId="0" xfId="2" applyAlignment="1">
      <alignment horizontal="right"/>
    </xf>
    <xf numFmtId="168" fontId="0" fillId="0" borderId="0" xfId="0" applyNumberForma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9525</xdr:rowOff>
    </xdr:from>
    <xdr:to>
      <xdr:col>1</xdr:col>
      <xdr:colOff>1552575</xdr:colOff>
      <xdr:row>19</xdr:row>
      <xdr:rowOff>180975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7635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561975</xdr:colOff>
      <xdr:row>18</xdr:row>
      <xdr:rowOff>9525</xdr:rowOff>
    </xdr:from>
    <xdr:to>
      <xdr:col>3</xdr:col>
      <xdr:colOff>714375</xdr:colOff>
      <xdr:row>19</xdr:row>
      <xdr:rowOff>180975</xdr:rowOff>
    </xdr:to>
    <xdr:sp macro="[0]!Sheet1.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39090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2.fazenda.mg.gov.br/sol/ctrl/SOL/DEMONSTR/CALC_ICMS_VENC_01?ACAO=VISUALIZ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4" sqref="B14"/>
    </sheetView>
  </sheetViews>
  <sheetFormatPr defaultRowHeight="15" x14ac:dyDescent="0.25"/>
  <cols>
    <col min="1" max="1" width="17.85546875" bestFit="1" customWidth="1"/>
    <col min="2" max="2" width="22" style="4" customWidth="1"/>
    <col min="3" max="3" width="19.5703125" bestFit="1" customWidth="1"/>
    <col min="4" max="4" width="14" customWidth="1"/>
    <col min="6" max="6" width="13.140625" customWidth="1"/>
    <col min="7" max="7" width="13.5703125" customWidth="1"/>
  </cols>
  <sheetData>
    <row r="1" spans="1:7" x14ac:dyDescent="0.25">
      <c r="A1" s="1" t="s">
        <v>0</v>
      </c>
      <c r="B1" s="4" t="s">
        <v>16</v>
      </c>
    </row>
    <row r="2" spans="1:7" x14ac:dyDescent="0.25">
      <c r="A2" s="1" t="s">
        <v>3</v>
      </c>
      <c r="B2" s="3">
        <v>2022022022021</v>
      </c>
      <c r="C2" s="11" t="s">
        <v>17</v>
      </c>
      <c r="D2" s="6">
        <v>44403</v>
      </c>
      <c r="F2" t="s">
        <v>1</v>
      </c>
      <c r="G2" t="s">
        <v>2</v>
      </c>
    </row>
    <row r="3" spans="1:7" x14ac:dyDescent="0.25">
      <c r="A3" s="2" t="s">
        <v>12</v>
      </c>
      <c r="B3" s="4" t="s">
        <v>19</v>
      </c>
      <c r="D3" s="12"/>
      <c r="F3">
        <v>1997</v>
      </c>
      <c r="G3" s="15">
        <v>0.91080000000000005</v>
      </c>
    </row>
    <row r="4" spans="1:7" x14ac:dyDescent="0.25">
      <c r="A4" s="1" t="s">
        <v>13</v>
      </c>
      <c r="B4" s="5">
        <v>6912823661</v>
      </c>
      <c r="F4">
        <v>1998</v>
      </c>
      <c r="G4" s="15">
        <v>0.96109999999999995</v>
      </c>
    </row>
    <row r="5" spans="1:7" x14ac:dyDescent="0.25">
      <c r="A5" s="1" t="s">
        <v>14</v>
      </c>
      <c r="B5" s="6">
        <v>44197</v>
      </c>
      <c r="F5">
        <v>1999</v>
      </c>
      <c r="G5" s="15">
        <v>0.97699999999999998</v>
      </c>
    </row>
    <row r="6" spans="1:7" x14ac:dyDescent="0.25">
      <c r="F6">
        <v>2000</v>
      </c>
      <c r="G6" s="15">
        <v>1.0641</v>
      </c>
    </row>
    <row r="7" spans="1:7" x14ac:dyDescent="0.25">
      <c r="A7" s="1"/>
      <c r="B7" s="6"/>
      <c r="C7" s="7"/>
      <c r="F7">
        <v>2001</v>
      </c>
      <c r="G7" s="15">
        <v>1.0641</v>
      </c>
    </row>
    <row r="8" spans="1:7" x14ac:dyDescent="0.25">
      <c r="A8" s="1" t="s">
        <v>4</v>
      </c>
      <c r="B8" s="6">
        <v>44212</v>
      </c>
      <c r="F8">
        <v>2002</v>
      </c>
      <c r="G8" s="15">
        <v>1.0641</v>
      </c>
    </row>
    <row r="9" spans="1:7" x14ac:dyDescent="0.25">
      <c r="A9" s="1" t="s">
        <v>15</v>
      </c>
      <c r="B9" s="16">
        <f>VLOOKUP(ZZ100, F3:G40,2,FALSE)</f>
        <v>3.944</v>
      </c>
      <c r="F9">
        <v>2003</v>
      </c>
      <c r="G9" s="15">
        <v>1.2490000000000001</v>
      </c>
    </row>
    <row r="10" spans="1:7" x14ac:dyDescent="0.25">
      <c r="A10" s="1" t="s">
        <v>5</v>
      </c>
      <c r="B10" s="8">
        <v>100000</v>
      </c>
      <c r="C10" s="17" t="s">
        <v>20</v>
      </c>
      <c r="F10">
        <v>2004</v>
      </c>
      <c r="G10" s="15">
        <v>1.4460999999999999</v>
      </c>
    </row>
    <row r="11" spans="1:7" x14ac:dyDescent="0.25">
      <c r="A11" s="1" t="s">
        <v>6</v>
      </c>
      <c r="B11" s="8">
        <v>500000</v>
      </c>
      <c r="C11" s="18" t="s">
        <v>21</v>
      </c>
      <c r="F11">
        <v>2005</v>
      </c>
      <c r="G11" s="15">
        <v>1.6174999999999999</v>
      </c>
    </row>
    <row r="12" spans="1:7" x14ac:dyDescent="0.25">
      <c r="A12" s="1" t="s">
        <v>7</v>
      </c>
      <c r="B12" s="9">
        <v>0.05</v>
      </c>
      <c r="F12">
        <v>2006</v>
      </c>
      <c r="G12" s="15">
        <v>1.6528</v>
      </c>
    </row>
    <row r="13" spans="1:7" x14ac:dyDescent="0.25">
      <c r="A13" s="1" t="s">
        <v>8</v>
      </c>
      <c r="B13" s="8">
        <v>25000</v>
      </c>
      <c r="F13">
        <v>2007</v>
      </c>
      <c r="G13" s="15">
        <v>1.708</v>
      </c>
    </row>
    <row r="14" spans="1:7" x14ac:dyDescent="0.25">
      <c r="A14" s="1" t="s">
        <v>9</v>
      </c>
      <c r="B14" s="8">
        <v>300</v>
      </c>
      <c r="F14">
        <v>2008</v>
      </c>
      <c r="G14" s="15">
        <v>1.8122</v>
      </c>
    </row>
    <row r="15" spans="1:7" x14ac:dyDescent="0.25">
      <c r="A15" s="1" t="s">
        <v>10</v>
      </c>
      <c r="B15" s="8">
        <v>280</v>
      </c>
      <c r="C15" s="13" t="s">
        <v>18</v>
      </c>
      <c r="D15" s="14">
        <v>0.1</v>
      </c>
      <c r="F15">
        <v>2009</v>
      </c>
      <c r="G15" s="15">
        <v>2.0348999999999999</v>
      </c>
    </row>
    <row r="16" spans="1:7" x14ac:dyDescent="0.25">
      <c r="A16" s="10" t="s">
        <v>11</v>
      </c>
      <c r="B16" s="8">
        <v>25580</v>
      </c>
      <c r="F16">
        <v>2010</v>
      </c>
      <c r="G16" s="15">
        <v>1.9991000000000001</v>
      </c>
    </row>
    <row r="17" spans="1:7" x14ac:dyDescent="0.25">
      <c r="A17" s="1"/>
      <c r="F17">
        <v>2011</v>
      </c>
      <c r="G17" s="15">
        <v>2.1812999999999998</v>
      </c>
    </row>
    <row r="18" spans="1:7" x14ac:dyDescent="0.25">
      <c r="A18" s="1"/>
      <c r="F18">
        <v>2012</v>
      </c>
      <c r="G18" s="15">
        <v>2.3290999999999999</v>
      </c>
    </row>
    <row r="19" spans="1:7" x14ac:dyDescent="0.25">
      <c r="A19" s="1"/>
      <c r="F19">
        <v>2013</v>
      </c>
      <c r="G19" s="15">
        <v>2.5015999999999998</v>
      </c>
    </row>
    <row r="20" spans="1:7" x14ac:dyDescent="0.25">
      <c r="A20" s="1"/>
      <c r="F20">
        <v>2014</v>
      </c>
      <c r="G20" s="15">
        <v>2.6381999999999999</v>
      </c>
    </row>
    <row r="21" spans="1:7" x14ac:dyDescent="0.25">
      <c r="A21" s="1"/>
      <c r="F21">
        <v>2015</v>
      </c>
      <c r="G21" s="15">
        <v>2.7229000000000001</v>
      </c>
    </row>
    <row r="22" spans="1:7" x14ac:dyDescent="0.25">
      <c r="A22" s="1"/>
      <c r="F22">
        <v>2016</v>
      </c>
      <c r="G22" s="15">
        <v>3.0108999999999999</v>
      </c>
    </row>
    <row r="23" spans="1:7" x14ac:dyDescent="0.25">
      <c r="A23" s="1"/>
      <c r="F23">
        <v>2017</v>
      </c>
      <c r="G23" s="15">
        <v>3.2513999999999998</v>
      </c>
    </row>
    <row r="24" spans="1:7" x14ac:dyDescent="0.25">
      <c r="A24" s="1"/>
      <c r="F24">
        <v>2018</v>
      </c>
      <c r="G24" s="15">
        <v>3.2513999999999998</v>
      </c>
    </row>
    <row r="25" spans="1:7" x14ac:dyDescent="0.25">
      <c r="A25" s="1"/>
      <c r="F25">
        <v>2019</v>
      </c>
      <c r="G25" s="15">
        <v>3.5931999999999999</v>
      </c>
    </row>
    <row r="26" spans="1:7" x14ac:dyDescent="0.25">
      <c r="A26" s="1"/>
      <c r="F26">
        <v>2020</v>
      </c>
      <c r="G26" s="15">
        <v>3.7115999999999998</v>
      </c>
    </row>
    <row r="27" spans="1:7" x14ac:dyDescent="0.25">
      <c r="A27" s="1"/>
      <c r="F27">
        <v>2021</v>
      </c>
      <c r="G27" s="15">
        <v>3.944</v>
      </c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100" spans="702:702" x14ac:dyDescent="0.25">
      <c r="ZZ100">
        <f>YEAR(B8)</f>
        <v>2021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7</v>
      </c>
    </row>
    <row r="103" spans="702:702" x14ac:dyDescent="0.25">
      <c r="ZZ103">
        <f>YEAR(D2)</f>
        <v>2021</v>
      </c>
    </row>
  </sheetData>
  <dataValidations count="2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</dataValidations>
  <hyperlinks>
    <hyperlink ref="C15" r:id="rId1" display="https://www2.fazenda.mg.gov.br/sol/ctrl/SOL/DEMONSTR/CALC_ICMS_VENC_01?ACAO=VISUALIZAR" xr:uid="{3AB96F34-7BFF-47D8-9380-41CB637B4C5A}"/>
  </hyperlinks>
  <pageMargins left="0.7" right="0.7" top="0.75" bottom="0.75" header="0.3" footer="0.3"/>
  <pageSetup paperSize="9" orientation="portrait" horizontalDpi="0" verticalDpi="0" r:id="rId2"/>
  <headerFooter>
    <oddHeader>&amp;C&amp;"Arial Black,Bold"&amp;14DEMONSTRATIVO DE CÁLCULO DO ITCD</oddHead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ITCD Calc</vt:lpstr>
      <vt:lpstr>monthCalc</vt:lpstr>
      <vt:lpstr>monthVenc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2021-07-26T23:45:50Z</dcterms:modified>
</cp:coreProperties>
</file>